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s\GitHub\DotaChess\"/>
    </mc:Choice>
  </mc:AlternateContent>
  <bookViews>
    <workbookView xWindow="0" yWindow="0" windowWidth="28800" windowHeight="12030"/>
  </bookViews>
  <sheets>
    <sheet name="Control" sheetId="1" r:id="rId1"/>
    <sheet name="Lookup" sheetId="2" r:id="rId2"/>
  </sheets>
  <functionGroups builtInGroupCount="18"/>
  <definedNames>
    <definedName name="_xlnm._FilterDatabase" localSheetId="0" hidden="1">Control!$G$56:$L$111</definedName>
    <definedName name="Heroes">Lookup!$A$1:$A$55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7" i="1" l="1"/>
  <c r="F79" i="1" l="1"/>
  <c r="F58" i="1" l="1"/>
  <c r="F59" i="1"/>
  <c r="F60" i="1"/>
  <c r="F61" i="1"/>
  <c r="F62" i="1"/>
  <c r="F63" i="1"/>
  <c r="F64" i="1"/>
  <c r="F65" i="1"/>
  <c r="F66" i="1"/>
  <c r="F57" i="1"/>
  <c r="L70" i="1" l="1"/>
  <c r="L65" i="1"/>
  <c r="L69" i="1"/>
  <c r="L72" i="1"/>
  <c r="L91" i="1"/>
  <c r="L64" i="1"/>
  <c r="L59" i="1"/>
  <c r="L67" i="1"/>
  <c r="L76" i="1"/>
  <c r="L83" i="1"/>
  <c r="L79" i="1"/>
  <c r="L81" i="1"/>
  <c r="L82" i="1"/>
  <c r="L57" i="1"/>
  <c r="L85" i="1"/>
  <c r="L84" i="1"/>
  <c r="L58" i="1"/>
  <c r="L71" i="1"/>
  <c r="L94" i="1"/>
  <c r="L68" i="1"/>
  <c r="L73" i="1"/>
  <c r="L78" i="1"/>
  <c r="L89" i="1"/>
  <c r="L77" i="1"/>
  <c r="L90" i="1"/>
  <c r="L75" i="1"/>
  <c r="L80" i="1"/>
  <c r="L93" i="1"/>
  <c r="L87" i="1"/>
  <c r="L66" i="1"/>
  <c r="L92" i="1"/>
  <c r="L60" i="1"/>
  <c r="L63" i="1"/>
  <c r="L86" i="1"/>
  <c r="L62" i="1"/>
  <c r="L74" i="1"/>
  <c r="L61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88" i="1"/>
  <c r="C57" i="1" l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J89" i="1"/>
  <c r="J70" i="1"/>
  <c r="J94" i="1"/>
  <c r="J71" i="1"/>
  <c r="J57" i="1"/>
  <c r="J65" i="1"/>
  <c r="J75" i="1"/>
  <c r="J73" i="1"/>
  <c r="J72" i="1"/>
  <c r="J80" i="1"/>
  <c r="J85" i="1"/>
  <c r="J77" i="1"/>
  <c r="J67" i="1"/>
  <c r="J68" i="1"/>
  <c r="J58" i="1"/>
  <c r="J84" i="1"/>
  <c r="J91" i="1"/>
  <c r="J90" i="1"/>
  <c r="J82" i="1"/>
  <c r="J83" i="1"/>
  <c r="J78" i="1"/>
  <c r="J79" i="1"/>
  <c r="J69" i="1"/>
  <c r="J88" i="1"/>
  <c r="J64" i="1"/>
  <c r="J76" i="1"/>
  <c r="J59" i="1"/>
  <c r="J93" i="1"/>
  <c r="J87" i="1"/>
  <c r="J66" i="1"/>
  <c r="J92" i="1"/>
  <c r="J60" i="1"/>
  <c r="J63" i="1"/>
  <c r="J86" i="1"/>
  <c r="J62" i="1"/>
  <c r="J74" i="1"/>
  <c r="J61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81" i="1"/>
  <c r="K89" i="1"/>
  <c r="K70" i="1"/>
  <c r="K94" i="1"/>
  <c r="K71" i="1"/>
  <c r="K57" i="1"/>
  <c r="K65" i="1"/>
  <c r="K75" i="1"/>
  <c r="K73" i="1"/>
  <c r="K72" i="1"/>
  <c r="K80" i="1"/>
  <c r="K85" i="1"/>
  <c r="K77" i="1"/>
  <c r="K67" i="1"/>
  <c r="K68" i="1"/>
  <c r="K58" i="1"/>
  <c r="K84" i="1"/>
  <c r="K91" i="1"/>
  <c r="K90" i="1"/>
  <c r="K82" i="1"/>
  <c r="K83" i="1"/>
  <c r="K78" i="1"/>
  <c r="K79" i="1"/>
  <c r="K69" i="1"/>
  <c r="K88" i="1"/>
  <c r="K64" i="1"/>
  <c r="K76" i="1"/>
  <c r="K59" i="1"/>
  <c r="K93" i="1"/>
  <c r="K87" i="1"/>
  <c r="K66" i="1"/>
  <c r="K92" i="1"/>
  <c r="K60" i="1"/>
  <c r="K63" i="1"/>
  <c r="K86" i="1"/>
  <c r="K62" i="1"/>
  <c r="K74" i="1"/>
  <c r="K61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81" i="1"/>
  <c r="I89" i="1"/>
  <c r="I70" i="1"/>
  <c r="I94" i="1"/>
  <c r="I71" i="1"/>
  <c r="I57" i="1"/>
  <c r="I65" i="1"/>
  <c r="I75" i="1"/>
  <c r="I73" i="1"/>
  <c r="I72" i="1"/>
  <c r="I80" i="1"/>
  <c r="I85" i="1"/>
  <c r="I77" i="1"/>
  <c r="I67" i="1"/>
  <c r="I68" i="1"/>
  <c r="I58" i="1"/>
  <c r="I84" i="1"/>
  <c r="I91" i="1"/>
  <c r="I90" i="1"/>
  <c r="I82" i="1"/>
  <c r="I83" i="1"/>
  <c r="I78" i="1"/>
  <c r="I79" i="1"/>
  <c r="I69" i="1"/>
  <c r="I88" i="1"/>
  <c r="I64" i="1"/>
  <c r="I76" i="1"/>
  <c r="I59" i="1"/>
  <c r="I93" i="1"/>
  <c r="I87" i="1"/>
  <c r="I66" i="1"/>
  <c r="I92" i="1"/>
  <c r="I60" i="1"/>
  <c r="I63" i="1"/>
  <c r="I86" i="1"/>
  <c r="I62" i="1"/>
  <c r="I74" i="1"/>
  <c r="I61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81" i="1"/>
  <c r="H89" i="1"/>
  <c r="H70" i="1"/>
  <c r="H94" i="1"/>
  <c r="H71" i="1"/>
  <c r="H57" i="1"/>
  <c r="H65" i="1"/>
  <c r="H75" i="1"/>
  <c r="H73" i="1"/>
  <c r="H72" i="1"/>
  <c r="H80" i="1"/>
  <c r="H85" i="1"/>
  <c r="H77" i="1"/>
  <c r="H67" i="1"/>
  <c r="H68" i="1"/>
  <c r="H58" i="1"/>
  <c r="H84" i="1"/>
  <c r="H91" i="1"/>
  <c r="H90" i="1"/>
  <c r="H82" i="1"/>
  <c r="H83" i="1"/>
  <c r="H78" i="1"/>
  <c r="H79" i="1"/>
  <c r="H69" i="1"/>
  <c r="H88" i="1"/>
  <c r="H64" i="1"/>
  <c r="H76" i="1"/>
  <c r="H59" i="1"/>
  <c r="H93" i="1"/>
  <c r="H87" i="1"/>
  <c r="H66" i="1"/>
  <c r="H92" i="1"/>
  <c r="H60" i="1"/>
  <c r="H63" i="1"/>
  <c r="H86" i="1"/>
  <c r="H62" i="1"/>
  <c r="H74" i="1"/>
  <c r="H61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81" i="1"/>
  <c r="B81" i="1" l="1"/>
  <c r="F81" i="1" s="1"/>
  <c r="B78" i="1"/>
  <c r="F78" i="1" s="1"/>
  <c r="B90" i="1"/>
  <c r="F90" i="1" s="1"/>
  <c r="B80" i="1"/>
  <c r="F80" i="1" s="1"/>
  <c r="B84" i="1"/>
  <c r="F84" i="1" s="1"/>
  <c r="B91" i="1"/>
  <c r="F91" i="1" s="1"/>
  <c r="B83" i="1"/>
  <c r="F83" i="1" s="1"/>
  <c r="B88" i="1"/>
  <c r="F88" i="1" s="1"/>
  <c r="B71" i="1"/>
  <c r="F71" i="1" s="1"/>
  <c r="B72" i="1"/>
  <c r="F72" i="1" s="1"/>
  <c r="B89" i="1"/>
  <c r="F89" i="1" s="1"/>
  <c r="B87" i="1"/>
  <c r="F87" i="1" s="1"/>
  <c r="B75" i="1"/>
  <c r="F75" i="1" s="1"/>
  <c r="B73" i="1"/>
  <c r="F73" i="1" s="1"/>
  <c r="B74" i="1"/>
  <c r="F74" i="1" s="1"/>
  <c r="B82" i="1"/>
  <c r="F82" i="1" s="1"/>
  <c r="B85" i="1"/>
  <c r="F85" i="1" s="1"/>
  <c r="B92" i="1"/>
  <c r="F92" i="1" s="1"/>
  <c r="B70" i="1"/>
  <c r="F70" i="1" s="1"/>
  <c r="B69" i="1"/>
  <c r="F69" i="1" s="1"/>
  <c r="B77" i="1"/>
  <c r="F77" i="1" s="1"/>
  <c r="B86" i="1"/>
  <c r="F86" i="1" s="1"/>
  <c r="B76" i="1"/>
  <c r="F76" i="1" s="1"/>
</calcChain>
</file>

<file path=xl/sharedStrings.xml><?xml version="1.0" encoding="utf-8"?>
<sst xmlns="http://schemas.openxmlformats.org/spreadsheetml/2006/main" count="320" uniqueCount="104">
  <si>
    <t>Doom</t>
  </si>
  <si>
    <t>Warrior</t>
  </si>
  <si>
    <t>Demon</t>
  </si>
  <si>
    <t>Troll</t>
  </si>
  <si>
    <t>Gyrocopter</t>
  </si>
  <si>
    <t>Mech</t>
  </si>
  <si>
    <t>Dwarf</t>
  </si>
  <si>
    <t>Templar Assassin</t>
  </si>
  <si>
    <t>Assassin</t>
  </si>
  <si>
    <t>Elf</t>
  </si>
  <si>
    <t>Slardar</t>
  </si>
  <si>
    <t>Naga</t>
  </si>
  <si>
    <t>Windranger</t>
  </si>
  <si>
    <t>Hunter</t>
  </si>
  <si>
    <t>Sniper</t>
  </si>
  <si>
    <t>Juggernaut</t>
  </si>
  <si>
    <t>Orc</t>
  </si>
  <si>
    <t>Alchemist</t>
  </si>
  <si>
    <t>Warlock</t>
  </si>
  <si>
    <t>Goblin</t>
  </si>
  <si>
    <t>Bounty Hunter</t>
  </si>
  <si>
    <t>Beastmaster</t>
  </si>
  <si>
    <t>Shadowfiend</t>
  </si>
  <si>
    <t>Kunkka</t>
  </si>
  <si>
    <t>Human</t>
  </si>
  <si>
    <t>Phantom Assassin</t>
  </si>
  <si>
    <t>Chaosknight</t>
  </si>
  <si>
    <t>Knight</t>
  </si>
  <si>
    <t>Medusa</t>
  </si>
  <si>
    <t>Slark</t>
  </si>
  <si>
    <t>Viper</t>
  </si>
  <si>
    <t>Dragon</t>
  </si>
  <si>
    <t>Lycan</t>
  </si>
  <si>
    <t>Razor</t>
  </si>
  <si>
    <t>Mage</t>
  </si>
  <si>
    <t>Element</t>
  </si>
  <si>
    <t>Queen of Pain</t>
  </si>
  <si>
    <t>Dragon Knight</t>
  </si>
  <si>
    <t>Necrophos</t>
  </si>
  <si>
    <t>Undead</t>
  </si>
  <si>
    <t>Venomancer</t>
  </si>
  <si>
    <t>Beast</t>
  </si>
  <si>
    <t>Tiny</t>
  </si>
  <si>
    <t>Tusk</t>
  </si>
  <si>
    <t>Ogremagi</t>
  </si>
  <si>
    <t>Ogre</t>
  </si>
  <si>
    <t>Lone Druid</t>
  </si>
  <si>
    <t>Druid</t>
  </si>
  <si>
    <t>Luna</t>
  </si>
  <si>
    <t>Antimage</t>
  </si>
  <si>
    <t>Demonhunter</t>
  </si>
  <si>
    <t>Timbersaw</t>
  </si>
  <si>
    <t>Morphling</t>
  </si>
  <si>
    <t>Omniknight</t>
  </si>
  <si>
    <t>TerrorBlade</t>
  </si>
  <si>
    <t>Abaddon</t>
  </si>
  <si>
    <t>Sandking</t>
  </si>
  <si>
    <t>Treantprotector</t>
  </si>
  <si>
    <t>Enchantress</t>
  </si>
  <si>
    <t>Batrider</t>
  </si>
  <si>
    <t>Clockwerk</t>
  </si>
  <si>
    <t>Axe</t>
  </si>
  <si>
    <t>Furion</t>
  </si>
  <si>
    <t>Enigma</t>
  </si>
  <si>
    <t>Techies</t>
  </si>
  <si>
    <t>Lina</t>
  </si>
  <si>
    <t>Drow Ranger</t>
  </si>
  <si>
    <t>Witchdoctor</t>
  </si>
  <si>
    <t>Disruptor</t>
  </si>
  <si>
    <t>Shaman</t>
  </si>
  <si>
    <t>Tinker</t>
  </si>
  <si>
    <t>Lich</t>
  </si>
  <si>
    <t>Shadowshaman</t>
  </si>
  <si>
    <t>Puck</t>
  </si>
  <si>
    <t>Crystal Maiden</t>
  </si>
  <si>
    <t>Lightkeeper</t>
  </si>
  <si>
    <t>Tidehunter</t>
  </si>
  <si>
    <r>
      <t>Human</t>
    </r>
    <r>
      <rPr>
        <sz val="11"/>
        <color theme="1"/>
        <rFont val="Calibri"/>
        <family val="2"/>
        <scheme val="minor"/>
      </rPr>
      <t/>
    </r>
  </si>
  <si>
    <t>Suggestion</t>
  </si>
  <si>
    <r>
      <rPr>
        <sz val="11"/>
        <color rgb="FF0070C0"/>
        <rFont val="Arial"/>
        <family val="2"/>
      </rPr>
      <t>Elf</t>
    </r>
    <r>
      <rPr>
        <sz val="11"/>
        <color theme="1"/>
        <rFont val="Calibri"/>
        <family val="2"/>
        <scheme val="minor"/>
      </rPr>
      <t/>
    </r>
  </si>
  <si>
    <t>Class</t>
  </si>
  <si>
    <t>Race1</t>
  </si>
  <si>
    <t>Race2</t>
  </si>
  <si>
    <t>Cost</t>
  </si>
  <si>
    <t>#</t>
  </si>
  <si>
    <t>Hero</t>
  </si>
  <si>
    <t>Current</t>
  </si>
  <si>
    <t>Buff1</t>
  </si>
  <si>
    <t>Buff2</t>
  </si>
  <si>
    <t>Buff3</t>
  </si>
  <si>
    <t>Tier</t>
  </si>
  <si>
    <t>Troll Warlord</t>
  </si>
  <si>
    <t>Data taken from</t>
  </si>
  <si>
    <t xml:space="preserve">qihl AutoChess Ultimate Sheet </t>
  </si>
  <si>
    <t>https://docs.google.com/spreadsheets/d/14ORvNkBFaWilIIDoHGpI_zz20hxQ9syFeowAuBzswdA/edit#gid=1278698781</t>
  </si>
  <si>
    <t>https://rautochess.github.io/?code=dac%3D%3DSSS%7C8%7C37%7C6%7C4%7C45%7C11%7C27%3D%3DSS%7C7%7C16%7C24%7C46%7C7%3D%3DS%7C6%7C42%7C12%7C21%7C34%7C29%7C9%7C38%3D%3DA%7C4%7C19%7C2%7C26%7C13%7C53%7C33%7C18%7C22%7C35%7C43%7C1%7C25%7C31%7C8%3D%3DHARD%20TO%20USE%20AND%20SITUATIONAL%20BUT%20THIS%20GOOD%7C1%7C3%3D%3DB%7C3%7C55%7C44%7C50%7C15%7C39%7C28%7C32%7C5%7C30%7C49%7C10%7C54%3D%3DC%7C1%7C51%7C14%7C52%7C47%7C36%7C17%3D%3DSTILL%20USEABLE%20BUT%20HIGHLY%20SITUATIONAL%7C0%7C48%7C41%7C20%7C40%7C23</t>
  </si>
  <si>
    <t>E= gold cost</t>
  </si>
  <si>
    <t>F= tier</t>
  </si>
  <si>
    <t>Synergies active if purchased</t>
  </si>
  <si>
    <t>Tier data from TidesOfTime</t>
  </si>
  <si>
    <t>V1.5.5</t>
  </si>
  <si>
    <t>Additional demon hunter(s) required</t>
  </si>
  <si>
    <t>Demonhunter, Elf</t>
  </si>
  <si>
    <t>Out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</si>
</sst>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7030A0"/>
      <name val="Arial"/>
      <family val="2"/>
    </font>
    <font>
      <b/>
      <sz val="11"/>
      <color rgb="FF806000"/>
      <name val="Arial"/>
      <family val="2"/>
    </font>
    <font>
      <b/>
      <sz val="11"/>
      <color rgb="FFF4B084"/>
      <name val="Arial"/>
      <family val="2"/>
    </font>
    <font>
      <b/>
      <sz val="11"/>
      <color rgb="FF0070C0"/>
      <name val="Arial"/>
      <family val="2"/>
    </font>
    <font>
      <b/>
      <sz val="11"/>
      <color rgb="FF0099CC"/>
      <name val="Arial"/>
      <family val="2"/>
    </font>
    <font>
      <b/>
      <sz val="11"/>
      <color rgb="FFC00000"/>
      <name val="Arial"/>
      <family val="2"/>
    </font>
    <font>
      <b/>
      <sz val="11"/>
      <color rgb="FF833C0C"/>
      <name val="Arial"/>
      <family val="2"/>
    </font>
    <font>
      <b/>
      <sz val="11"/>
      <color rgb="FFA5A5A5"/>
      <name val="Arial"/>
      <family val="2"/>
    </font>
    <font>
      <b/>
      <sz val="11"/>
      <color rgb="FFFF0000"/>
      <name val="Arial"/>
      <family val="2"/>
    </font>
    <font>
      <b/>
      <sz val="11"/>
      <color rgb="FFFF00FF"/>
      <name val="Arial"/>
      <family val="2"/>
    </font>
    <font>
      <b/>
      <sz val="11"/>
      <color rgb="FF000000"/>
      <name val="Arial"/>
      <family val="2"/>
    </font>
    <font>
      <b/>
      <sz val="11"/>
      <color rgb="FF00B050"/>
      <name val="Arial"/>
      <family val="2"/>
    </font>
    <font>
      <sz val="11"/>
      <color rgb="FFFFFFFF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rgb="FF0070C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CCCCFF"/>
        <bgColor rgb="FFCCCCFF"/>
      </patternFill>
    </fill>
    <fill>
      <patternFill patternType="solid">
        <fgColor rgb="FFDDEBF7"/>
        <bgColor rgb="FFDDEBF7"/>
      </patternFill>
    </fill>
    <fill>
      <patternFill patternType="solid">
        <fgColor rgb="FFF8CBAD"/>
        <bgColor rgb="FFF8CBAD"/>
      </patternFill>
    </fill>
    <fill>
      <patternFill patternType="solid">
        <fgColor rgb="FF375623"/>
        <bgColor rgb="FF375623"/>
      </patternFill>
    </fill>
    <fill>
      <patternFill patternType="solid">
        <fgColor rgb="FF000000"/>
        <bgColor rgb="FF000000"/>
      </patternFill>
    </fill>
    <fill>
      <patternFill patternType="solid">
        <fgColor rgb="FF44546A"/>
        <bgColor rgb="FF44546A"/>
      </patternFill>
    </fill>
    <fill>
      <patternFill patternType="solid">
        <fgColor rgb="FFF8696B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C7D7ED"/>
        <bgColor indexed="64"/>
      </patternFill>
    </fill>
    <fill>
      <patternFill patternType="solid">
        <fgColor rgb="FF91B1DA"/>
        <bgColor indexed="64"/>
      </patternFill>
    </fill>
    <fill>
      <patternFill patternType="solid">
        <fgColor rgb="FF5A8AC6"/>
        <bgColor indexed="64"/>
      </patternFill>
    </fill>
    <fill>
      <patternFill patternType="solid">
        <fgColor rgb="FFFAB2B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0" fontId="1" fillId="0" borderId="7" xfId="0" applyFont="1" applyBorder="1"/>
    <xf numFmtId="0" fontId="0" fillId="0" borderId="11" xfId="0" applyBorder="1" applyAlignment="1">
      <alignment horizontal="center"/>
    </xf>
    <xf numFmtId="0" fontId="17" fillId="0" borderId="0" xfId="0" applyFont="1"/>
    <xf numFmtId="0" fontId="20" fillId="0" borderId="0" xfId="1"/>
    <xf numFmtId="0" fontId="17" fillId="0" borderId="0" xfId="0" applyFont="1"/>
    <xf numFmtId="0" fontId="0" fillId="0" borderId="0" xfId="0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0" fontId="0" fillId="12" borderId="0" xfId="0" applyFill="1"/>
    <xf numFmtId="0" fontId="0" fillId="12" borderId="0" xfId="0" applyFill="1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/>
    <xf numFmtId="0" fontId="0" fillId="13" borderId="0" xfId="0" applyFill="1" applyAlignment="1">
      <alignment vertical="top"/>
    </xf>
    <xf numFmtId="0" fontId="0" fillId="13" borderId="0" xfId="0" applyFill="1" applyAlignment="1">
      <alignment horizontal="center" vertical="top"/>
    </xf>
    <xf numFmtId="0" fontId="0" fillId="14" borderId="0" xfId="0" applyFill="1"/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15" borderId="0" xfId="0" applyFill="1"/>
    <xf numFmtId="0" fontId="0" fillId="15" borderId="0" xfId="0" applyFill="1" applyAlignment="1">
      <alignment vertical="top"/>
    </xf>
    <xf numFmtId="0" fontId="0" fillId="15" borderId="0" xfId="0" applyFill="1" applyAlignment="1">
      <alignment horizontal="center" vertical="top"/>
    </xf>
    <xf numFmtId="0" fontId="0" fillId="16" borderId="0" xfId="0" applyFill="1"/>
    <xf numFmtId="0" fontId="0" fillId="16" borderId="0" xfId="0" applyFill="1" applyAlignment="1">
      <alignment vertical="top"/>
    </xf>
    <xf numFmtId="0" fontId="0" fillId="16" borderId="0" xfId="0" applyFill="1" applyAlignment="1">
      <alignment horizontal="center" vertical="top"/>
    </xf>
    <xf numFmtId="0" fontId="0" fillId="17" borderId="0" xfId="0" applyFill="1"/>
    <xf numFmtId="0" fontId="0" fillId="17" borderId="0" xfId="0" applyFill="1" applyAlignment="1">
      <alignment vertical="top"/>
    </xf>
    <xf numFmtId="0" fontId="0" fillId="17" borderId="0" xfId="0" applyFill="1" applyAlignment="1">
      <alignment horizontal="center" vertical="top"/>
    </xf>
    <xf numFmtId="0" fontId="1" fillId="0" borderId="12" xfId="0" applyFont="1" applyFill="1" applyBorder="1" applyAlignment="1">
      <alignment horizontal="center" vertical="top" wrapText="1"/>
    </xf>
    <xf numFmtId="0" fontId="1" fillId="0" borderId="13" xfId="0" applyFont="1" applyFill="1" applyBorder="1" applyAlignment="1">
      <alignment horizontal="center" vertical="top" wrapText="1"/>
    </xf>
    <xf numFmtId="0" fontId="1" fillId="0" borderId="14" xfId="0" applyFont="1" applyFill="1" applyBorder="1" applyAlignment="1">
      <alignment horizontal="center" vertical="top" wrapText="1"/>
    </xf>
    <xf numFmtId="0" fontId="1" fillId="0" borderId="7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8"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s/d/14ORvNkBFaWilIIDoHGpI_zz20hxQ9syFeowAuBzswdA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3"/>
  <sheetViews>
    <sheetView tabSelected="1" topLeftCell="A56" workbookViewId="0">
      <selection activeCell="B57" sqref="B57"/>
    </sheetView>
  </sheetViews>
  <sheetFormatPr defaultRowHeight="15" x14ac:dyDescent="0.25"/>
  <cols>
    <col min="1" max="1" width="13.5703125" bestFit="1" customWidth="1"/>
    <col min="2" max="2" width="17" style="31" bestFit="1" customWidth="1"/>
    <col min="3" max="3" width="13.5703125" bestFit="1" customWidth="1"/>
    <col min="4" max="5" width="11.7109375" style="31" customWidth="1"/>
    <col min="6" max="6" width="9.140625" style="53"/>
    <col min="7" max="7" width="17" style="59" bestFit="1" customWidth="1"/>
    <col min="8" max="8" width="13.5703125" style="59" bestFit="1" customWidth="1"/>
    <col min="9" max="10" width="9.85546875" style="59" customWidth="1"/>
    <col min="11" max="11" width="7.140625" style="63" bestFit="1" customWidth="1"/>
    <col min="12" max="12" width="9.140625" style="63"/>
    <col min="13" max="13" width="63.28515625" style="60" customWidth="1"/>
    <col min="14" max="16" width="8.5703125" style="31" customWidth="1"/>
    <col min="17" max="17" width="9.28515625" bestFit="1" customWidth="1"/>
  </cols>
  <sheetData>
    <row r="1" spans="1:11" hidden="1" x14ac:dyDescent="0.25">
      <c r="A1" s="27"/>
      <c r="B1" s="32" t="s">
        <v>55</v>
      </c>
      <c r="C1" s="28"/>
      <c r="D1" s="32"/>
      <c r="E1" s="37"/>
      <c r="G1" s="61"/>
      <c r="H1" s="61"/>
      <c r="I1" s="61"/>
      <c r="J1" s="61"/>
      <c r="K1" s="62"/>
    </row>
    <row r="2" spans="1:11" hidden="1" x14ac:dyDescent="0.25">
      <c r="A2" s="29"/>
      <c r="B2" s="33" t="s">
        <v>17</v>
      </c>
      <c r="C2" s="30"/>
      <c r="D2" s="33"/>
      <c r="E2" s="38"/>
      <c r="G2" s="61"/>
      <c r="H2" s="61"/>
      <c r="I2" s="61"/>
      <c r="J2" s="61"/>
      <c r="K2" s="62"/>
    </row>
    <row r="3" spans="1:11" hidden="1" x14ac:dyDescent="0.25">
      <c r="A3" s="29"/>
      <c r="B3" s="33" t="s">
        <v>49</v>
      </c>
      <c r="C3" s="30"/>
      <c r="D3" s="33"/>
      <c r="E3" s="38"/>
      <c r="G3" s="61"/>
      <c r="H3" s="61"/>
      <c r="I3" s="61"/>
      <c r="J3" s="61"/>
      <c r="K3" s="62"/>
    </row>
    <row r="4" spans="1:11" hidden="1" x14ac:dyDescent="0.25">
      <c r="A4" s="29"/>
      <c r="B4" s="33" t="s">
        <v>61</v>
      </c>
      <c r="C4" s="30"/>
      <c r="D4" s="33"/>
      <c r="E4" s="38"/>
      <c r="G4" s="61"/>
      <c r="H4" s="61"/>
      <c r="I4" s="61"/>
      <c r="J4" s="61"/>
      <c r="K4" s="62"/>
    </row>
    <row r="5" spans="1:11" hidden="1" x14ac:dyDescent="0.25">
      <c r="A5" s="29"/>
      <c r="B5" s="33" t="s">
        <v>59</v>
      </c>
      <c r="C5" s="30"/>
      <c r="D5" s="33"/>
      <c r="E5" s="38"/>
      <c r="G5" s="61"/>
      <c r="H5" s="61"/>
      <c r="I5" s="61"/>
      <c r="J5" s="61"/>
      <c r="K5" s="62"/>
    </row>
    <row r="6" spans="1:11" hidden="1" x14ac:dyDescent="0.25">
      <c r="A6" s="29"/>
      <c r="B6" s="33" t="s">
        <v>21</v>
      </c>
      <c r="C6" s="30"/>
      <c r="D6" s="33"/>
      <c r="E6" s="38"/>
      <c r="G6" s="61"/>
      <c r="H6" s="61"/>
      <c r="I6" s="61"/>
      <c r="J6" s="61"/>
      <c r="K6" s="62"/>
    </row>
    <row r="7" spans="1:11" hidden="1" x14ac:dyDescent="0.25">
      <c r="A7" s="29"/>
      <c r="B7" s="33" t="s">
        <v>20</v>
      </c>
      <c r="C7" s="30"/>
      <c r="D7" s="33"/>
      <c r="E7" s="38"/>
      <c r="G7" s="61"/>
      <c r="H7" s="61"/>
      <c r="I7" s="61"/>
      <c r="J7" s="61"/>
      <c r="K7" s="62"/>
    </row>
    <row r="8" spans="1:11" hidden="1" x14ac:dyDescent="0.25">
      <c r="A8" s="29"/>
      <c r="B8" s="33" t="s">
        <v>26</v>
      </c>
      <c r="C8" s="30"/>
      <c r="D8" s="33"/>
      <c r="E8" s="38"/>
      <c r="G8" s="61"/>
      <c r="H8" s="61"/>
      <c r="I8" s="61"/>
      <c r="J8" s="61"/>
      <c r="K8" s="62"/>
    </row>
    <row r="9" spans="1:11" hidden="1" x14ac:dyDescent="0.25">
      <c r="A9" s="29"/>
      <c r="B9" s="33" t="s">
        <v>60</v>
      </c>
      <c r="C9" s="30"/>
      <c r="D9" s="33"/>
      <c r="E9" s="38"/>
      <c r="G9" s="61"/>
      <c r="H9" s="61"/>
      <c r="I9" s="61"/>
      <c r="J9" s="61"/>
      <c r="K9" s="62"/>
    </row>
    <row r="10" spans="1:11" hidden="1" x14ac:dyDescent="0.25">
      <c r="A10" s="29"/>
      <c r="B10" s="33" t="s">
        <v>74</v>
      </c>
      <c r="C10" s="30"/>
      <c r="D10" s="33"/>
      <c r="E10" s="38"/>
      <c r="G10" s="61"/>
      <c r="H10" s="61"/>
      <c r="I10" s="61"/>
      <c r="J10" s="61"/>
      <c r="K10" s="62"/>
    </row>
    <row r="11" spans="1:11" hidden="1" x14ac:dyDescent="0.25">
      <c r="A11" s="29"/>
      <c r="B11" s="33" t="s">
        <v>68</v>
      </c>
      <c r="C11" s="30"/>
      <c r="D11" s="33"/>
      <c r="E11" s="38"/>
      <c r="G11" s="61"/>
      <c r="H11" s="61"/>
      <c r="I11" s="61"/>
      <c r="J11" s="61"/>
      <c r="K11" s="62"/>
    </row>
    <row r="12" spans="1:11" hidden="1" x14ac:dyDescent="0.25">
      <c r="A12" s="29"/>
      <c r="B12" s="33" t="s">
        <v>0</v>
      </c>
      <c r="C12" s="30"/>
      <c r="D12" s="33"/>
      <c r="E12" s="38"/>
      <c r="G12" s="61"/>
      <c r="H12" s="61"/>
      <c r="I12" s="61"/>
      <c r="J12" s="61"/>
      <c r="K12" s="62"/>
    </row>
    <row r="13" spans="1:11" hidden="1" x14ac:dyDescent="0.25">
      <c r="A13" s="29"/>
      <c r="B13" s="33" t="s">
        <v>37</v>
      </c>
      <c r="C13" s="30"/>
      <c r="D13" s="33"/>
      <c r="E13" s="38"/>
      <c r="G13" s="61"/>
      <c r="H13" s="61"/>
      <c r="I13" s="61"/>
      <c r="J13" s="61"/>
      <c r="K13" s="62"/>
    </row>
    <row r="14" spans="1:11" hidden="1" x14ac:dyDescent="0.25">
      <c r="A14" s="29"/>
      <c r="B14" s="33" t="s">
        <v>66</v>
      </c>
      <c r="C14" s="30"/>
      <c r="D14" s="33"/>
      <c r="E14" s="38"/>
      <c r="G14" s="61"/>
      <c r="H14" s="61"/>
      <c r="I14" s="61"/>
      <c r="J14" s="61"/>
      <c r="K14" s="62"/>
    </row>
    <row r="15" spans="1:11" hidden="1" x14ac:dyDescent="0.25">
      <c r="A15" s="29"/>
      <c r="B15" s="33" t="s">
        <v>58</v>
      </c>
      <c r="C15" s="30"/>
      <c r="D15" s="33"/>
      <c r="E15" s="38"/>
      <c r="G15" s="61"/>
      <c r="H15" s="61"/>
      <c r="I15" s="61"/>
      <c r="J15" s="61"/>
      <c r="K15" s="62"/>
    </row>
    <row r="16" spans="1:11" hidden="1" x14ac:dyDescent="0.25">
      <c r="A16" s="29"/>
      <c r="B16" s="33" t="s">
        <v>63</v>
      </c>
      <c r="C16" s="30"/>
      <c r="D16" s="33"/>
      <c r="E16" s="38"/>
      <c r="G16" s="61"/>
      <c r="H16" s="61"/>
      <c r="I16" s="61"/>
      <c r="J16" s="61"/>
      <c r="K16" s="62"/>
    </row>
    <row r="17" spans="1:11" hidden="1" x14ac:dyDescent="0.25">
      <c r="A17" s="29"/>
      <c r="B17" s="33" t="s">
        <v>62</v>
      </c>
      <c r="C17" s="30"/>
      <c r="D17" s="33"/>
      <c r="E17" s="38"/>
      <c r="G17" s="61"/>
      <c r="H17" s="61"/>
      <c r="I17" s="61"/>
      <c r="J17" s="61"/>
      <c r="K17" s="62"/>
    </row>
    <row r="18" spans="1:11" hidden="1" x14ac:dyDescent="0.25">
      <c r="A18" s="29"/>
      <c r="B18" s="33" t="s">
        <v>4</v>
      </c>
      <c r="C18" s="30"/>
      <c r="D18" s="33"/>
      <c r="E18" s="38"/>
      <c r="G18" s="61"/>
      <c r="H18" s="61"/>
      <c r="I18" s="61"/>
      <c r="J18" s="61"/>
      <c r="K18" s="62"/>
    </row>
    <row r="19" spans="1:11" hidden="1" x14ac:dyDescent="0.25">
      <c r="A19" s="29"/>
      <c r="B19" s="33" t="s">
        <v>15</v>
      </c>
      <c r="C19" s="30"/>
      <c r="D19" s="33"/>
      <c r="E19" s="38"/>
      <c r="G19" s="61"/>
      <c r="H19" s="61"/>
      <c r="I19" s="61"/>
      <c r="J19" s="61"/>
      <c r="K19" s="62"/>
    </row>
    <row r="20" spans="1:11" hidden="1" x14ac:dyDescent="0.25">
      <c r="A20" s="29"/>
      <c r="B20" s="33" t="s">
        <v>23</v>
      </c>
      <c r="C20" s="30"/>
      <c r="D20" s="33"/>
      <c r="E20" s="38"/>
      <c r="G20" s="61"/>
      <c r="H20" s="61"/>
      <c r="I20" s="61"/>
      <c r="J20" s="61"/>
      <c r="K20" s="62"/>
    </row>
    <row r="21" spans="1:11" hidden="1" x14ac:dyDescent="0.25">
      <c r="A21" s="29"/>
      <c r="B21" s="33" t="s">
        <v>71</v>
      </c>
      <c r="C21" s="30"/>
      <c r="D21" s="33"/>
      <c r="E21" s="38"/>
      <c r="G21" s="61"/>
      <c r="H21" s="61"/>
      <c r="I21" s="61"/>
      <c r="J21" s="61"/>
      <c r="K21" s="62"/>
    </row>
    <row r="22" spans="1:11" hidden="1" x14ac:dyDescent="0.25">
      <c r="A22" s="29"/>
      <c r="B22" s="33" t="s">
        <v>75</v>
      </c>
      <c r="C22" s="30"/>
      <c r="D22" s="33"/>
      <c r="E22" s="38"/>
      <c r="G22" s="61"/>
      <c r="H22" s="61"/>
      <c r="I22" s="61"/>
      <c r="J22" s="61"/>
      <c r="K22" s="62"/>
    </row>
    <row r="23" spans="1:11" hidden="1" x14ac:dyDescent="0.25">
      <c r="A23" s="29"/>
      <c r="B23" s="33" t="s">
        <v>65</v>
      </c>
      <c r="C23" s="30"/>
      <c r="D23" s="33"/>
      <c r="E23" s="38"/>
      <c r="G23" s="61"/>
      <c r="H23" s="61"/>
      <c r="I23" s="61"/>
      <c r="J23" s="61"/>
      <c r="K23" s="62"/>
    </row>
    <row r="24" spans="1:11" hidden="1" x14ac:dyDescent="0.25">
      <c r="A24" s="29"/>
      <c r="B24" s="33" t="s">
        <v>46</v>
      </c>
      <c r="C24" s="30"/>
      <c r="D24" s="33"/>
      <c r="E24" s="38"/>
      <c r="G24" s="61"/>
      <c r="H24" s="61"/>
      <c r="I24" s="61"/>
      <c r="J24" s="61"/>
      <c r="K24" s="62"/>
    </row>
    <row r="25" spans="1:11" hidden="1" x14ac:dyDescent="0.25">
      <c r="A25" s="29"/>
      <c r="B25" s="33" t="s">
        <v>48</v>
      </c>
      <c r="C25" s="30"/>
      <c r="D25" s="33"/>
      <c r="E25" s="38"/>
      <c r="G25" s="61"/>
      <c r="H25" s="61"/>
      <c r="I25" s="61"/>
      <c r="J25" s="61"/>
      <c r="K25" s="62"/>
    </row>
    <row r="26" spans="1:11" hidden="1" x14ac:dyDescent="0.25">
      <c r="A26" s="29"/>
      <c r="B26" s="33" t="s">
        <v>32</v>
      </c>
      <c r="C26" s="30"/>
      <c r="D26" s="33"/>
      <c r="E26" s="38"/>
      <c r="G26" s="61"/>
      <c r="H26" s="61"/>
      <c r="I26" s="61"/>
      <c r="J26" s="61"/>
      <c r="K26" s="62"/>
    </row>
    <row r="27" spans="1:11" hidden="1" x14ac:dyDescent="0.25">
      <c r="A27" s="29"/>
      <c r="B27" s="33" t="s">
        <v>28</v>
      </c>
      <c r="C27" s="30"/>
      <c r="D27" s="33"/>
      <c r="E27" s="38"/>
      <c r="G27" s="61"/>
      <c r="H27" s="61"/>
      <c r="I27" s="61"/>
      <c r="J27" s="61"/>
      <c r="K27" s="62"/>
    </row>
    <row r="28" spans="1:11" hidden="1" x14ac:dyDescent="0.25">
      <c r="A28" s="29"/>
      <c r="B28" s="33" t="s">
        <v>52</v>
      </c>
      <c r="C28" s="30"/>
      <c r="D28" s="33"/>
      <c r="E28" s="38"/>
      <c r="G28" s="61"/>
      <c r="H28" s="61"/>
      <c r="I28" s="61"/>
      <c r="J28" s="61"/>
      <c r="K28" s="62"/>
    </row>
    <row r="29" spans="1:11" hidden="1" x14ac:dyDescent="0.25">
      <c r="A29" s="29"/>
      <c r="B29" s="33" t="s">
        <v>38</v>
      </c>
      <c r="C29" s="30"/>
      <c r="D29" s="33"/>
      <c r="E29" s="38"/>
      <c r="G29" s="61"/>
      <c r="H29" s="61"/>
      <c r="I29" s="61"/>
      <c r="J29" s="61"/>
      <c r="K29" s="62"/>
    </row>
    <row r="30" spans="1:11" hidden="1" x14ac:dyDescent="0.25">
      <c r="A30" s="29"/>
      <c r="B30" s="33" t="s">
        <v>44</v>
      </c>
      <c r="C30" s="30"/>
      <c r="D30" s="33"/>
      <c r="E30" s="38"/>
      <c r="G30" s="61"/>
      <c r="H30" s="61"/>
      <c r="I30" s="61"/>
      <c r="J30" s="61"/>
      <c r="K30" s="62"/>
    </row>
    <row r="31" spans="1:11" hidden="1" x14ac:dyDescent="0.25">
      <c r="A31" s="29"/>
      <c r="B31" s="33" t="s">
        <v>53</v>
      </c>
      <c r="C31" s="30"/>
      <c r="D31" s="33"/>
      <c r="E31" s="38"/>
      <c r="G31" s="61"/>
      <c r="H31" s="61"/>
      <c r="I31" s="61"/>
      <c r="J31" s="61"/>
      <c r="K31" s="62"/>
    </row>
    <row r="32" spans="1:11" hidden="1" x14ac:dyDescent="0.25">
      <c r="A32" s="29"/>
      <c r="B32" s="33" t="s">
        <v>25</v>
      </c>
      <c r="C32" s="30"/>
      <c r="D32" s="33"/>
      <c r="E32" s="38"/>
      <c r="G32" s="61"/>
      <c r="H32" s="61"/>
      <c r="I32" s="61"/>
      <c r="J32" s="61"/>
      <c r="K32" s="62"/>
    </row>
    <row r="33" spans="1:11" hidden="1" x14ac:dyDescent="0.25">
      <c r="A33" s="29"/>
      <c r="B33" s="33" t="s">
        <v>73</v>
      </c>
      <c r="C33" s="30"/>
      <c r="D33" s="33"/>
      <c r="E33" s="38"/>
      <c r="G33" s="61"/>
      <c r="H33" s="61"/>
      <c r="I33" s="61"/>
      <c r="J33" s="61"/>
      <c r="K33" s="62"/>
    </row>
    <row r="34" spans="1:11" hidden="1" x14ac:dyDescent="0.25">
      <c r="A34" s="29"/>
      <c r="B34" s="33" t="s">
        <v>36</v>
      </c>
      <c r="C34" s="30"/>
      <c r="D34" s="33"/>
      <c r="E34" s="38"/>
      <c r="G34" s="61"/>
      <c r="H34" s="61"/>
      <c r="I34" s="61"/>
      <c r="J34" s="61"/>
      <c r="K34" s="62"/>
    </row>
    <row r="35" spans="1:11" hidden="1" x14ac:dyDescent="0.25">
      <c r="A35" s="29"/>
      <c r="B35" s="33" t="s">
        <v>33</v>
      </c>
      <c r="C35" s="30"/>
      <c r="D35" s="33"/>
      <c r="E35" s="38"/>
      <c r="G35" s="61"/>
      <c r="H35" s="61"/>
      <c r="I35" s="61"/>
      <c r="J35" s="61"/>
      <c r="K35" s="62"/>
    </row>
    <row r="36" spans="1:11" hidden="1" x14ac:dyDescent="0.25">
      <c r="A36" s="29"/>
      <c r="B36" s="33" t="s">
        <v>56</v>
      </c>
      <c r="C36" s="30"/>
      <c r="D36" s="33"/>
      <c r="E36" s="38"/>
      <c r="G36" s="61"/>
      <c r="H36" s="61"/>
      <c r="I36" s="61"/>
      <c r="J36" s="61"/>
      <c r="K36" s="62"/>
    </row>
    <row r="37" spans="1:11" hidden="1" x14ac:dyDescent="0.25">
      <c r="A37" s="29"/>
      <c r="B37" s="33" t="s">
        <v>22</v>
      </c>
      <c r="C37" s="30"/>
      <c r="D37" s="33"/>
      <c r="E37" s="38"/>
      <c r="G37" s="61"/>
      <c r="H37" s="61"/>
      <c r="I37" s="61"/>
      <c r="J37" s="61"/>
      <c r="K37" s="62"/>
    </row>
    <row r="38" spans="1:11" hidden="1" x14ac:dyDescent="0.25">
      <c r="A38" s="29"/>
      <c r="B38" s="33" t="s">
        <v>72</v>
      </c>
      <c r="C38" s="30"/>
      <c r="D38" s="33"/>
      <c r="E38" s="38"/>
      <c r="G38" s="61"/>
      <c r="H38" s="61"/>
      <c r="I38" s="61"/>
      <c r="J38" s="61"/>
      <c r="K38" s="62"/>
    </row>
    <row r="39" spans="1:11" hidden="1" x14ac:dyDescent="0.25">
      <c r="A39" s="29"/>
      <c r="B39" s="33" t="s">
        <v>10</v>
      </c>
      <c r="C39" s="30"/>
      <c r="D39" s="33"/>
      <c r="E39" s="38"/>
      <c r="G39" s="61"/>
      <c r="H39" s="61"/>
      <c r="I39" s="61"/>
      <c r="J39" s="61"/>
      <c r="K39" s="62"/>
    </row>
    <row r="40" spans="1:11" hidden="1" x14ac:dyDescent="0.25">
      <c r="A40" s="29"/>
      <c r="B40" s="33" t="s">
        <v>29</v>
      </c>
      <c r="C40" s="30"/>
      <c r="D40" s="33"/>
      <c r="E40" s="38"/>
      <c r="G40" s="61"/>
      <c r="H40" s="61"/>
      <c r="I40" s="61"/>
      <c r="J40" s="61"/>
      <c r="K40" s="62"/>
    </row>
    <row r="41" spans="1:11" hidden="1" x14ac:dyDescent="0.25">
      <c r="A41" s="29"/>
      <c r="B41" s="33" t="s">
        <v>14</v>
      </c>
      <c r="C41" s="30"/>
      <c r="D41" s="33"/>
      <c r="E41" s="38"/>
      <c r="G41" s="61"/>
      <c r="H41" s="61"/>
      <c r="I41" s="61"/>
      <c r="J41" s="61"/>
      <c r="K41" s="62"/>
    </row>
    <row r="42" spans="1:11" hidden="1" x14ac:dyDescent="0.25">
      <c r="A42" s="29"/>
      <c r="B42" s="33" t="s">
        <v>64</v>
      </c>
      <c r="C42" s="30"/>
      <c r="D42" s="33"/>
      <c r="E42" s="38"/>
      <c r="G42" s="61"/>
      <c r="H42" s="61"/>
      <c r="I42" s="61"/>
      <c r="J42" s="61"/>
      <c r="K42" s="62"/>
    </row>
    <row r="43" spans="1:11" hidden="1" x14ac:dyDescent="0.25">
      <c r="A43" s="29"/>
      <c r="B43" s="33" t="s">
        <v>7</v>
      </c>
      <c r="C43" s="30"/>
      <c r="D43" s="33"/>
      <c r="E43" s="38"/>
      <c r="G43" s="61"/>
      <c r="H43" s="61"/>
      <c r="I43" s="61"/>
      <c r="J43" s="61"/>
      <c r="K43" s="62"/>
    </row>
    <row r="44" spans="1:11" hidden="1" x14ac:dyDescent="0.25">
      <c r="A44" s="29"/>
      <c r="B44" s="33" t="s">
        <v>54</v>
      </c>
      <c r="C44" s="30"/>
      <c r="D44" s="33"/>
      <c r="E44" s="38"/>
      <c r="G44" s="61"/>
      <c r="H44" s="61"/>
      <c r="I44" s="61"/>
      <c r="J44" s="61"/>
      <c r="K44" s="62"/>
    </row>
    <row r="45" spans="1:11" hidden="1" x14ac:dyDescent="0.25">
      <c r="A45" s="29"/>
      <c r="B45" s="33" t="s">
        <v>76</v>
      </c>
      <c r="C45" s="30"/>
      <c r="D45" s="33"/>
      <c r="E45" s="38"/>
      <c r="G45" s="61"/>
      <c r="H45" s="61"/>
      <c r="I45" s="61"/>
      <c r="J45" s="61"/>
      <c r="K45" s="62"/>
    </row>
    <row r="46" spans="1:11" hidden="1" x14ac:dyDescent="0.25">
      <c r="A46" s="29"/>
      <c r="B46" s="33" t="s">
        <v>51</v>
      </c>
      <c r="C46" s="30"/>
      <c r="D46" s="33"/>
      <c r="E46" s="38"/>
      <c r="G46" s="61"/>
      <c r="H46" s="61"/>
      <c r="I46" s="61"/>
      <c r="J46" s="61"/>
      <c r="K46" s="62"/>
    </row>
    <row r="47" spans="1:11" hidden="1" x14ac:dyDescent="0.25">
      <c r="A47" s="29"/>
      <c r="B47" s="33" t="s">
        <v>70</v>
      </c>
      <c r="C47" s="30"/>
      <c r="D47" s="33"/>
      <c r="E47" s="38"/>
      <c r="G47" s="61"/>
      <c r="H47" s="61"/>
      <c r="I47" s="61"/>
      <c r="J47" s="61"/>
      <c r="K47" s="62"/>
    </row>
    <row r="48" spans="1:11" hidden="1" x14ac:dyDescent="0.25">
      <c r="A48" s="29"/>
      <c r="B48" s="33" t="s">
        <v>42</v>
      </c>
      <c r="C48" s="30"/>
      <c r="D48" s="33"/>
      <c r="E48" s="38"/>
      <c r="G48" s="61"/>
      <c r="H48" s="61"/>
      <c r="I48" s="61"/>
      <c r="J48" s="61"/>
      <c r="K48" s="62"/>
    </row>
    <row r="49" spans="1:16" hidden="1" x14ac:dyDescent="0.25">
      <c r="A49" s="29"/>
      <c r="B49" s="33" t="s">
        <v>57</v>
      </c>
      <c r="C49" s="30"/>
      <c r="D49" s="33"/>
      <c r="E49" s="38"/>
      <c r="G49" s="61"/>
      <c r="H49" s="61"/>
      <c r="I49" s="61"/>
      <c r="J49" s="61"/>
      <c r="K49" s="62"/>
    </row>
    <row r="50" spans="1:16" hidden="1" x14ac:dyDescent="0.25">
      <c r="A50" s="29"/>
      <c r="B50" s="33" t="s">
        <v>91</v>
      </c>
      <c r="C50" s="30"/>
      <c r="D50" s="33"/>
      <c r="E50" s="38"/>
      <c r="G50" s="61"/>
      <c r="H50" s="61"/>
      <c r="I50" s="61"/>
      <c r="J50" s="61"/>
      <c r="K50" s="62"/>
    </row>
    <row r="51" spans="1:16" hidden="1" x14ac:dyDescent="0.25">
      <c r="A51" s="29"/>
      <c r="B51" s="33" t="s">
        <v>43</v>
      </c>
      <c r="C51" s="30"/>
      <c r="D51" s="33"/>
      <c r="E51" s="38"/>
      <c r="G51" s="61"/>
      <c r="H51" s="61"/>
      <c r="I51" s="61"/>
      <c r="J51" s="61"/>
      <c r="K51" s="62"/>
    </row>
    <row r="52" spans="1:16" hidden="1" x14ac:dyDescent="0.25">
      <c r="A52" s="29"/>
      <c r="B52" s="33" t="s">
        <v>40</v>
      </c>
      <c r="C52" s="30"/>
      <c r="D52" s="33"/>
      <c r="E52" s="38"/>
      <c r="G52" s="61"/>
      <c r="H52" s="61"/>
      <c r="I52" s="61"/>
      <c r="J52" s="61"/>
      <c r="K52" s="62"/>
    </row>
    <row r="53" spans="1:16" hidden="1" x14ac:dyDescent="0.25">
      <c r="A53" s="29"/>
      <c r="B53" s="33" t="s">
        <v>30</v>
      </c>
      <c r="C53" s="30"/>
      <c r="D53" s="33"/>
      <c r="E53" s="38"/>
      <c r="G53" s="61"/>
      <c r="H53" s="61"/>
      <c r="I53" s="61"/>
      <c r="J53" s="61"/>
      <c r="K53" s="62"/>
    </row>
    <row r="54" spans="1:16" hidden="1" x14ac:dyDescent="0.25">
      <c r="A54" s="29"/>
      <c r="B54" s="33" t="s">
        <v>12</v>
      </c>
      <c r="C54" s="30"/>
      <c r="D54" s="33"/>
      <c r="E54" s="38"/>
      <c r="G54" s="61"/>
      <c r="H54" s="61"/>
      <c r="I54" s="61"/>
      <c r="J54" s="61"/>
      <c r="K54" s="62"/>
    </row>
    <row r="55" spans="1:16" hidden="1" x14ac:dyDescent="0.25">
      <c r="A55" s="29"/>
      <c r="B55" s="33" t="s">
        <v>67</v>
      </c>
      <c r="C55" s="30"/>
      <c r="D55" s="33"/>
      <c r="E55" s="38"/>
      <c r="G55" s="61"/>
      <c r="H55" s="61"/>
      <c r="I55" s="61"/>
      <c r="J55" s="61"/>
      <c r="K55" s="62"/>
    </row>
    <row r="56" spans="1:16" ht="15.75" thickBot="1" x14ac:dyDescent="0.3">
      <c r="A56" s="42" t="s">
        <v>84</v>
      </c>
      <c r="B56" s="34" t="s">
        <v>85</v>
      </c>
      <c r="C56" s="34" t="s">
        <v>80</v>
      </c>
      <c r="D56" s="34" t="s">
        <v>81</v>
      </c>
      <c r="E56" s="34" t="s">
        <v>82</v>
      </c>
      <c r="F56" s="54" t="s">
        <v>90</v>
      </c>
      <c r="G56" s="64" t="s">
        <v>78</v>
      </c>
      <c r="H56" s="64" t="s">
        <v>80</v>
      </c>
      <c r="I56" s="64" t="s">
        <v>81</v>
      </c>
      <c r="J56" s="64" t="s">
        <v>82</v>
      </c>
      <c r="K56" s="65" t="s">
        <v>83</v>
      </c>
      <c r="L56" s="66" t="s">
        <v>90</v>
      </c>
      <c r="M56" s="69" t="s">
        <v>98</v>
      </c>
      <c r="N56" s="88" t="s">
        <v>86</v>
      </c>
      <c r="O56" s="89" t="s">
        <v>103</v>
      </c>
      <c r="P56" s="90" t="s">
        <v>83</v>
      </c>
    </row>
    <row r="57" spans="1:16" ht="15.75" thickBot="1" x14ac:dyDescent="0.3">
      <c r="A57" s="40">
        <v>1</v>
      </c>
      <c r="B57" s="33" t="s">
        <v>54</v>
      </c>
      <c r="C57" s="33" t="str">
        <f>IF(B57&lt;&gt;"",VLOOKUP(B57,Lookup!A:C,2,FALSE),"")</f>
        <v>Demonhunter</v>
      </c>
      <c r="D57" s="33" t="str">
        <f>IF(B57&lt;&gt;"",VLOOKUP(B57,Lookup!A:C,3,FALSE),"")</f>
        <v>Demon</v>
      </c>
      <c r="E57" s="33" t="str">
        <f>IF(B57&lt;&gt;"",IF(VLOOKUP(B57,Lookup!A:E,4,FALSE)="","",VLOOKUP(B57,Lookup!A:E,4,FALSE)),"")</f>
        <v/>
      </c>
      <c r="F57" s="55">
        <f>IF(B57&lt;&gt;"",IF(VLOOKUP(B57,Lookup!A:F,6,FALSE)="","",VLOOKUP(B57,Lookup!A:F,6,FALSE)),"")</f>
        <v>5</v>
      </c>
      <c r="G57" s="70" t="s">
        <v>33</v>
      </c>
      <c r="H57" s="71" t="str">
        <f>IF(G57&lt;&gt;"",VLOOKUP(G57,Lookup!A:C,2,FALSE),"")</f>
        <v>Mage</v>
      </c>
      <c r="I57" s="71" t="str">
        <f>IF(G57&lt;&gt;"",VLOOKUP(G57,Lookup!A:C,3,FALSE),"")</f>
        <v>Element</v>
      </c>
      <c r="J57" s="71" t="str">
        <f>IF(G57&lt;&gt;"",IF(VLOOKUP(G57,Lookup!A:E,4,FALSE)="","",VLOOKUP(G57,Lookup!A:E,4,FALSE)),"")</f>
        <v/>
      </c>
      <c r="K57" s="72">
        <f>IF(G57&lt;&gt;"",VLOOKUP(G57,Lookup!A:E,5,FALSE),"")</f>
        <v>3</v>
      </c>
      <c r="L57" s="63">
        <f>IF(G57&lt;&gt;"",VLOOKUP(G57,Lookup!A:F,6,FALSE),"")</f>
        <v>2</v>
      </c>
      <c r="M57" s="60" t="s">
        <v>34</v>
      </c>
      <c r="N57" s="91">
        <v>8</v>
      </c>
      <c r="O57" s="92">
        <v>40</v>
      </c>
      <c r="P57" s="93" t="str">
        <f>"$"&amp;ROUNDUP((O57-N57)/4,0)*5</f>
        <v>$40</v>
      </c>
    </row>
    <row r="58" spans="1:16" x14ac:dyDescent="0.25">
      <c r="A58" s="40">
        <v>2</v>
      </c>
      <c r="B58" s="35" t="s">
        <v>20</v>
      </c>
      <c r="C58" s="33" t="str">
        <f>IF(B58&lt;&gt;"",VLOOKUP(B58,Lookup!A:C,2,FALSE),"")</f>
        <v>Assassin</v>
      </c>
      <c r="D58" s="33" t="str">
        <f>IF(B58&lt;&gt;"",VLOOKUP(B58,Lookup!A:C,3,FALSE),"")</f>
        <v>Goblin</v>
      </c>
      <c r="E58" s="33" t="str">
        <f>IF(B58&lt;&gt;"",IF(VLOOKUP(B58,Lookup!A:E,4,FALSE)="","",VLOOKUP(B58,Lookup!A:E,4,FALSE)),"")</f>
        <v/>
      </c>
      <c r="F58" s="55">
        <f>IF(B58&lt;&gt;"",IF(VLOOKUP(B58,Lookup!A:F,6,FALSE)="","",VLOOKUP(B58,Lookup!A:F,6,FALSE)),"")</f>
        <v>1</v>
      </c>
      <c r="G58" s="70" t="s">
        <v>0</v>
      </c>
      <c r="H58" s="71" t="str">
        <f>IF(G58&lt;&gt;"",VLOOKUP(G58,Lookup!A:C,2,FALSE),"")</f>
        <v>Warrior</v>
      </c>
      <c r="I58" s="71" t="str">
        <f>IF(G58&lt;&gt;"",VLOOKUP(G58,Lookup!A:C,3,FALSE),"")</f>
        <v>Demon</v>
      </c>
      <c r="J58" s="71" t="str">
        <f>IF(G58&lt;&gt;"",IF(VLOOKUP(G58,Lookup!A:E,4,FALSE)="","",VLOOKUP(G58,Lookup!A:E,4,FALSE)),"")</f>
        <v/>
      </c>
      <c r="K58" s="72">
        <f>IF(G58&lt;&gt;"",VLOOKUP(G58,Lookup!A:E,5,FALSE),"")</f>
        <v>4</v>
      </c>
      <c r="L58" s="63">
        <f>IF(G58&lt;&gt;"",VLOOKUP(G58,Lookup!A:F,6,FALSE),"")</f>
        <v>2</v>
      </c>
      <c r="M58" s="60" t="s">
        <v>101</v>
      </c>
    </row>
    <row r="59" spans="1:16" x14ac:dyDescent="0.25">
      <c r="A59" s="40">
        <v>3</v>
      </c>
      <c r="B59" s="33" t="s">
        <v>44</v>
      </c>
      <c r="C59" s="33" t="str">
        <f>IF(B59&lt;&gt;"",VLOOKUP(B59,Lookup!A:C,2,FALSE),"")</f>
        <v>Mage</v>
      </c>
      <c r="D59" s="33" t="str">
        <f>IF(B59&lt;&gt;"",VLOOKUP(B59,Lookup!A:C,3,FALSE),"")</f>
        <v>Ogre</v>
      </c>
      <c r="E59" s="33" t="str">
        <f>IF(B59&lt;&gt;"",IF(VLOOKUP(B59,Lookup!A:E,4,FALSE)="","",VLOOKUP(B59,Lookup!A:E,4,FALSE)),"")</f>
        <v/>
      </c>
      <c r="F59" s="55">
        <f>IF(B59&lt;&gt;"",IF(VLOOKUP(B59,Lookup!A:F,6,FALSE)="","",VLOOKUP(B59,Lookup!A:F,6,FALSE)),"")</f>
        <v>6</v>
      </c>
      <c r="G59" s="70" t="s">
        <v>22</v>
      </c>
      <c r="H59" s="71" t="str">
        <f>IF(G59&lt;&gt;"",VLOOKUP(G59,Lookup!A:C,2,FALSE),"")</f>
        <v>Warlock</v>
      </c>
      <c r="I59" s="71" t="str">
        <f>IF(G59&lt;&gt;"",VLOOKUP(G59,Lookup!A:C,3,FALSE),"")</f>
        <v>Demon</v>
      </c>
      <c r="J59" s="71" t="str">
        <f>IF(G59&lt;&gt;"",IF(VLOOKUP(G59,Lookup!A:E,4,FALSE)="","",VLOOKUP(G59,Lookup!A:E,4,FALSE)),"")</f>
        <v/>
      </c>
      <c r="K59" s="72">
        <f>IF(G59&lt;&gt;"",VLOOKUP(G59,Lookup!A:E,5,FALSE),"")</f>
        <v>3</v>
      </c>
      <c r="L59" s="63">
        <f>IF(G59&lt;&gt;"",VLOOKUP(G59,Lookup!A:F,6,FALSE),"")</f>
        <v>2</v>
      </c>
      <c r="M59" s="60" t="s">
        <v>101</v>
      </c>
    </row>
    <row r="60" spans="1:16" x14ac:dyDescent="0.25">
      <c r="A60" s="40">
        <v>4</v>
      </c>
      <c r="B60" s="33" t="s">
        <v>30</v>
      </c>
      <c r="C60" s="33" t="str">
        <f>IF(B60&lt;&gt;"",VLOOKUP(B60,Lookup!A:C,2,FALSE),"")</f>
        <v>Assassin</v>
      </c>
      <c r="D60" s="33" t="str">
        <f>IF(B60&lt;&gt;"",VLOOKUP(B60,Lookup!A:C,3,FALSE),"")</f>
        <v>Dragon</v>
      </c>
      <c r="E60" s="33" t="str">
        <f>IF(B60&lt;&gt;"",IF(VLOOKUP(B60,Lookup!A:E,4,FALSE)="","",VLOOKUP(B60,Lookup!A:E,4,FALSE)),"")</f>
        <v/>
      </c>
      <c r="F60" s="55">
        <f>IF(B60&lt;&gt;"",IF(VLOOKUP(B60,Lookup!A:F,6,FALSE)="","",VLOOKUP(B60,Lookup!A:F,6,FALSE)),"")</f>
        <v>4</v>
      </c>
      <c r="G60" s="70" t="s">
        <v>64</v>
      </c>
      <c r="H60" s="71" t="str">
        <f>IF(G60&lt;&gt;"",VLOOKUP(G60,Lookup!A:C,2,FALSE),"")</f>
        <v>Mech</v>
      </c>
      <c r="I60" s="71" t="str">
        <f>IF(G60&lt;&gt;"",VLOOKUP(G60,Lookup!A:C,3,FALSE),"")</f>
        <v>Goblin</v>
      </c>
      <c r="J60" s="71" t="str">
        <f>IF(G60&lt;&gt;"",IF(VLOOKUP(G60,Lookup!A:E,4,FALSE)="","",VLOOKUP(G60,Lookup!A:E,4,FALSE)),"")</f>
        <v/>
      </c>
      <c r="K60" s="72">
        <f>IF(G60&lt;&gt;"",VLOOKUP(G60,Lookup!A:E,5,FALSE),"")</f>
        <v>5</v>
      </c>
      <c r="L60" s="63">
        <f>IF(G60&lt;&gt;"",VLOOKUP(G60,Lookup!A:F,6,FALSE),"")</f>
        <v>2</v>
      </c>
    </row>
    <row r="61" spans="1:16" x14ac:dyDescent="0.25">
      <c r="A61" s="40">
        <v>5</v>
      </c>
      <c r="B61" s="33" t="s">
        <v>73</v>
      </c>
      <c r="C61" s="33" t="str">
        <f>IF(B61&lt;&gt;"",VLOOKUP(B61,Lookup!A:C,2,FALSE),"")</f>
        <v>Mage</v>
      </c>
      <c r="D61" s="33" t="str">
        <f>IF(B61&lt;&gt;"",VLOOKUP(B61,Lookup!A:C,3,FALSE),"")</f>
        <v>Elf</v>
      </c>
      <c r="E61" s="33" t="str">
        <f>IF(B61&lt;&gt;"",IF(VLOOKUP(B61,Lookup!A:E,4,FALSE)="","",VLOOKUP(B61,Lookup!A:E,4,FALSE)),"")</f>
        <v>Dragon</v>
      </c>
      <c r="F61" s="55">
        <f>IF(B61&lt;&gt;"",IF(VLOOKUP(B61,Lookup!A:F,6,FALSE)="","",VLOOKUP(B61,Lookup!A:F,6,FALSE)),"")</f>
        <v>4</v>
      </c>
      <c r="G61" s="85" t="s">
        <v>17</v>
      </c>
      <c r="H61" s="86" t="str">
        <f>IF(G61&lt;&gt;"",VLOOKUP(G61,Lookup!A:C,2,FALSE),"")</f>
        <v>Warlock</v>
      </c>
      <c r="I61" s="86" t="str">
        <f>IF(G61&lt;&gt;"",VLOOKUP(G61,Lookup!A:C,3,FALSE),"")</f>
        <v>Goblin</v>
      </c>
      <c r="J61" s="86" t="str">
        <f>IF(G61&lt;&gt;"",IF(VLOOKUP(G61,Lookup!A:E,4,FALSE)="","",VLOOKUP(G61,Lookup!A:E,4,FALSE)),"")</f>
        <v/>
      </c>
      <c r="K61" s="87">
        <f>IF(G61&lt;&gt;"",VLOOKUP(G61,Lookup!A:E,5,FALSE),"")</f>
        <v>4</v>
      </c>
      <c r="L61" s="63">
        <f>IF(G61&lt;&gt;"",VLOOKUP(G61,Lookup!A:F,6,FALSE),"")</f>
        <v>3</v>
      </c>
    </row>
    <row r="62" spans="1:16" x14ac:dyDescent="0.25">
      <c r="A62" s="40">
        <v>6</v>
      </c>
      <c r="B62" s="33" t="s">
        <v>7</v>
      </c>
      <c r="C62" s="33" t="str">
        <f>IF(B62&lt;&gt;"",VLOOKUP(B62,Lookup!A:C,2,FALSE),"")</f>
        <v>Assassin</v>
      </c>
      <c r="D62" s="33" t="str">
        <f>IF(B62&lt;&gt;"",VLOOKUP(B62,Lookup!A:C,3,FALSE),"")</f>
        <v>Elf</v>
      </c>
      <c r="E62" s="33" t="str">
        <f>IF(B62&lt;&gt;"",IF(VLOOKUP(B62,Lookup!A:E,4,FALSE)="","",VLOOKUP(B62,Lookup!A:E,4,FALSE)),"")</f>
        <v/>
      </c>
      <c r="F62" s="55">
        <f>IF(B62&lt;&gt;"",IF(VLOOKUP(B62,Lookup!A:F,6,FALSE)="","",VLOOKUP(B62,Lookup!A:F,6,FALSE)),"")</f>
        <v>4</v>
      </c>
      <c r="G62" s="85" t="s">
        <v>12</v>
      </c>
      <c r="H62" s="86" t="str">
        <f>IF(G62&lt;&gt;"",VLOOKUP(G62,Lookup!A:C,2,FALSE),"")</f>
        <v>Hunter</v>
      </c>
      <c r="I62" s="86" t="str">
        <f>IF(G62&lt;&gt;"",VLOOKUP(G62,Lookup!A:C,3,FALSE),"")</f>
        <v>Elf</v>
      </c>
      <c r="J62" s="86" t="str">
        <f>IF(G62&lt;&gt;"",IF(VLOOKUP(G62,Lookup!A:E,4,FALSE)="","",VLOOKUP(G62,Lookup!A:E,4,FALSE)),"")</f>
        <v/>
      </c>
      <c r="K62" s="87">
        <f>IF(G62&lt;&gt;"",VLOOKUP(G62,Lookup!A:E,5,FALSE),"")</f>
        <v>3</v>
      </c>
      <c r="L62" s="63">
        <f>IF(G62&lt;&gt;"",VLOOKUP(G62,Lookup!A:F,6,FALSE),"")</f>
        <v>3</v>
      </c>
      <c r="M62" s="60" t="s">
        <v>9</v>
      </c>
    </row>
    <row r="63" spans="1:16" x14ac:dyDescent="0.25">
      <c r="A63" s="40">
        <v>7</v>
      </c>
      <c r="B63" s="33"/>
      <c r="C63" s="33" t="str">
        <f>IF(B63&lt;&gt;"",VLOOKUP(B63,Lookup!A:C,2,FALSE),"")</f>
        <v/>
      </c>
      <c r="D63" s="33" t="str">
        <f>IF(B63&lt;&gt;"",VLOOKUP(B63,Lookup!A:C,3,FALSE),"")</f>
        <v/>
      </c>
      <c r="E63" s="33" t="str">
        <f>IF(B63&lt;&gt;"",IF(VLOOKUP(B63,Lookup!A:E,4,FALSE)="","",VLOOKUP(B63,Lookup!A:E,4,FALSE)),"")</f>
        <v/>
      </c>
      <c r="F63" s="55" t="str">
        <f>IF(B63&lt;&gt;"",IF(VLOOKUP(B63,Lookup!A:F,6,FALSE)="","",VLOOKUP(B63,Lookup!A:F,6,FALSE)),"")</f>
        <v/>
      </c>
      <c r="G63" s="73" t="s">
        <v>49</v>
      </c>
      <c r="H63" s="74" t="str">
        <f>IF(G63&lt;&gt;"",VLOOKUP(G63,Lookup!A:C,2,FALSE),"")</f>
        <v>Demonhunter</v>
      </c>
      <c r="I63" s="74" t="str">
        <f>IF(G63&lt;&gt;"",VLOOKUP(G63,Lookup!A:C,3,FALSE),"")</f>
        <v>Elf</v>
      </c>
      <c r="J63" s="74" t="str">
        <f>IF(G63&lt;&gt;"",IF(VLOOKUP(G63,Lookup!A:E,4,FALSE)="","",VLOOKUP(G63,Lookup!A:E,4,FALSE)),"")</f>
        <v/>
      </c>
      <c r="K63" s="75">
        <f>IF(G63&lt;&gt;"",VLOOKUP(G63,Lookup!A:E,5,FALSE),"")</f>
        <v>1</v>
      </c>
      <c r="L63" s="63">
        <f>IF(G63&lt;&gt;"",VLOOKUP(G63,Lookup!A:F,6,FALSE),"")</f>
        <v>4</v>
      </c>
      <c r="M63" s="60" t="s">
        <v>102</v>
      </c>
    </row>
    <row r="64" spans="1:16" x14ac:dyDescent="0.25">
      <c r="A64" s="40">
        <v>8</v>
      </c>
      <c r="B64" s="33"/>
      <c r="C64" s="33" t="str">
        <f>IF(B64&lt;&gt;"",VLOOKUP(B64,Lookup!A:C,2,FALSE),"")</f>
        <v/>
      </c>
      <c r="D64" s="33" t="str">
        <f>IF(B64&lt;&gt;"",VLOOKUP(B64,Lookup!A:C,3,FALSE),"")</f>
        <v/>
      </c>
      <c r="E64" s="33" t="str">
        <f>IF(B64&lt;&gt;"",IF(VLOOKUP(B64,Lookup!A:E,4,FALSE)="","",VLOOKUP(B64,Lookup!A:E,4,FALSE)),"")</f>
        <v/>
      </c>
      <c r="F64" s="55" t="str">
        <f>IF(B64&lt;&gt;"",IF(VLOOKUP(B64,Lookup!A:F,6,FALSE)="","",VLOOKUP(B64,Lookup!A:F,6,FALSE)),"")</f>
        <v/>
      </c>
      <c r="G64" s="73" t="s">
        <v>25</v>
      </c>
      <c r="H64" s="74" t="str">
        <f>IF(G64&lt;&gt;"",VLOOKUP(G64,Lookup!A:C,2,FALSE),"")</f>
        <v>Assassin</v>
      </c>
      <c r="I64" s="74" t="str">
        <f>IF(G64&lt;&gt;"",VLOOKUP(G64,Lookup!A:C,3,FALSE),"")</f>
        <v>Elf</v>
      </c>
      <c r="J64" s="74" t="str">
        <f>IF(G64&lt;&gt;"",IF(VLOOKUP(G64,Lookup!A:E,4,FALSE)="","",VLOOKUP(G64,Lookup!A:E,4,FALSE)),"")</f>
        <v/>
      </c>
      <c r="K64" s="75">
        <f>IF(G64&lt;&gt;"",VLOOKUP(G64,Lookup!A:E,5,FALSE),"")</f>
        <v>3</v>
      </c>
      <c r="L64" s="63">
        <f>IF(G64&lt;&gt;"",VLOOKUP(G64,Lookup!A:F,6,FALSE),"")</f>
        <v>4</v>
      </c>
      <c r="M64" s="60" t="s">
        <v>9</v>
      </c>
    </row>
    <row r="65" spans="1:13" x14ac:dyDescent="0.25">
      <c r="A65" s="40">
        <v>9</v>
      </c>
      <c r="B65" s="33"/>
      <c r="C65" s="33" t="str">
        <f>IF(B65&lt;&gt;"",VLOOKUP(B65,Lookup!A:C,2,FALSE),"")</f>
        <v/>
      </c>
      <c r="D65" s="33" t="str">
        <f>IF(B65&lt;&gt;"",VLOOKUP(B65,Lookup!A:C,3,FALSE),"")</f>
        <v/>
      </c>
      <c r="E65" s="33" t="str">
        <f>IF(B65&lt;&gt;"",IF(VLOOKUP(B65,Lookup!A:E,4,FALSE)="","",VLOOKUP(B65,Lookup!A:E,4,FALSE)),"")</f>
        <v/>
      </c>
      <c r="F65" s="55" t="str">
        <f>IF(B65&lt;&gt;"",IF(VLOOKUP(B65,Lookup!A:F,6,FALSE)="","",VLOOKUP(B65,Lookup!A:F,6,FALSE)),"")</f>
        <v/>
      </c>
      <c r="G65" s="73" t="s">
        <v>36</v>
      </c>
      <c r="H65" s="74" t="str">
        <f>IF(G65&lt;&gt;"",VLOOKUP(G65,Lookup!A:C,2,FALSE),"")</f>
        <v>Assassin</v>
      </c>
      <c r="I65" s="74" t="str">
        <f>IF(G65&lt;&gt;"",VLOOKUP(G65,Lookup!A:C,3,FALSE),"")</f>
        <v>Demon</v>
      </c>
      <c r="J65" s="74" t="str">
        <f>IF(G65&lt;&gt;"",IF(VLOOKUP(G65,Lookup!A:E,4,FALSE)="","",VLOOKUP(G65,Lookup!A:E,4,FALSE)),"")</f>
        <v/>
      </c>
      <c r="K65" s="75">
        <f>IF(G65&lt;&gt;"",VLOOKUP(G65,Lookup!A:E,5,FALSE),"")</f>
        <v>2</v>
      </c>
      <c r="L65" s="63">
        <f>IF(G65&lt;&gt;"",VLOOKUP(G65,Lookup!A:F,6,FALSE),"")</f>
        <v>4</v>
      </c>
      <c r="M65" s="60" t="s">
        <v>101</v>
      </c>
    </row>
    <row r="66" spans="1:13" ht="15.75" thickBot="1" x14ac:dyDescent="0.3">
      <c r="A66" s="41">
        <v>10</v>
      </c>
      <c r="B66" s="36"/>
      <c r="C66" s="36" t="str">
        <f>IF(B66&lt;&gt;"",VLOOKUP(B66,Lookup!A:C,2,FALSE),"")</f>
        <v/>
      </c>
      <c r="D66" s="36" t="str">
        <f>IF(B66&lt;&gt;"",VLOOKUP(B66,Lookup!A:C,3,FALSE),"")</f>
        <v/>
      </c>
      <c r="E66" s="36" t="str">
        <f>IF(B66&lt;&gt;"",IF(VLOOKUP(B66,Lookup!A:E,4,FALSE)="","",VLOOKUP(B66,Lookup!A:E,4,FALSE)),"")</f>
        <v/>
      </c>
      <c r="F66" s="56" t="str">
        <f>IF(B66&lt;&gt;"",IF(VLOOKUP(B66,Lookup!A:F,6,FALSE)="","",VLOOKUP(B66,Lookup!A:F,6,FALSE)),"")</f>
        <v/>
      </c>
      <c r="G66" s="73" t="s">
        <v>71</v>
      </c>
      <c r="H66" s="74" t="str">
        <f>IF(G66&lt;&gt;"",VLOOKUP(G66,Lookup!A:C,2,FALSE),"")</f>
        <v>Mage</v>
      </c>
      <c r="I66" s="74" t="str">
        <f>IF(G66&lt;&gt;"",VLOOKUP(G66,Lookup!A:C,3,FALSE),"")</f>
        <v>Undead</v>
      </c>
      <c r="J66" s="74" t="str">
        <f>IF(G66&lt;&gt;"",IF(VLOOKUP(G66,Lookup!A:E,4,FALSE)="","",VLOOKUP(G66,Lookup!A:E,4,FALSE)),"")</f>
        <v/>
      </c>
      <c r="K66" s="75">
        <f>IF(G66&lt;&gt;"",VLOOKUP(G66,Lookup!A:E,5,FALSE),"")</f>
        <v>5</v>
      </c>
      <c r="L66" s="63">
        <f>IF(G66&lt;&gt;"",VLOOKUP(G66,Lookup!A:F,6,FALSE),"")</f>
        <v>4</v>
      </c>
      <c r="M66" s="60" t="s">
        <v>34</v>
      </c>
    </row>
    <row r="67" spans="1:13" ht="15.75" thickBot="1" x14ac:dyDescent="0.3">
      <c r="G67" s="73" t="s">
        <v>26</v>
      </c>
      <c r="H67" s="74" t="str">
        <f>IF(G67&lt;&gt;"",VLOOKUP(G67,Lookup!A:C,2,FALSE),"")</f>
        <v>Knight</v>
      </c>
      <c r="I67" s="74" t="str">
        <f>IF(G67&lt;&gt;"",VLOOKUP(G67,Lookup!A:C,3,FALSE),"")</f>
        <v>Demon</v>
      </c>
      <c r="J67" s="74" t="str">
        <f>IF(G67&lt;&gt;"",IF(VLOOKUP(G67,Lookup!A:E,4,FALSE)="","",VLOOKUP(G67,Lookup!A:E,4,FALSE)),"")</f>
        <v/>
      </c>
      <c r="K67" s="75">
        <f>IF(G67&lt;&gt;"",VLOOKUP(G67,Lookup!A:E,5,FALSE),"")</f>
        <v>2</v>
      </c>
      <c r="L67" s="63">
        <f>IF(G67&lt;&gt;"",VLOOKUP(G67,Lookup!A:F,6,FALSE),"")</f>
        <v>4</v>
      </c>
      <c r="M67" s="60" t="s">
        <v>101</v>
      </c>
    </row>
    <row r="68" spans="1:13" x14ac:dyDescent="0.25">
      <c r="A68" s="27"/>
      <c r="B68" s="44" t="s">
        <v>86</v>
      </c>
      <c r="C68" s="45" t="s">
        <v>87</v>
      </c>
      <c r="D68" s="44" t="s">
        <v>88</v>
      </c>
      <c r="E68" s="46" t="s">
        <v>89</v>
      </c>
      <c r="F68" s="58"/>
      <c r="G68" s="73" t="s">
        <v>60</v>
      </c>
      <c r="H68" s="74" t="str">
        <f>IF(G68&lt;&gt;"",VLOOKUP(G68,Lookup!A:C,2,FALSE),"")</f>
        <v>Mech</v>
      </c>
      <c r="I68" s="74" t="str">
        <f>IF(G68&lt;&gt;"",VLOOKUP(G68,Lookup!A:C,3,FALSE),"")</f>
        <v>Goblin</v>
      </c>
      <c r="J68" s="74" t="str">
        <f>IF(G68&lt;&gt;"",IF(VLOOKUP(G68,Lookup!A:E,4,FALSE)="","",VLOOKUP(G68,Lookup!A:E,4,FALSE)),"")</f>
        <v/>
      </c>
      <c r="K68" s="75">
        <f>IF(G68&lt;&gt;"",VLOOKUP(G68,Lookup!A:E,5,FALSE),"")</f>
        <v>1</v>
      </c>
      <c r="L68" s="63">
        <f>IF(G68&lt;&gt;"",VLOOKUP(G68,Lookup!A:F,6,FALSE),"")</f>
        <v>4</v>
      </c>
    </row>
    <row r="69" spans="1:13" x14ac:dyDescent="0.25">
      <c r="A69" s="47" t="s">
        <v>8</v>
      </c>
      <c r="B69" s="33">
        <f t="shared" ref="B69:B78" si="0">COUNTIF($C$57:$C$66,A69)</f>
        <v>3</v>
      </c>
      <c r="C69" s="43">
        <v>3</v>
      </c>
      <c r="D69" s="33">
        <v>6</v>
      </c>
      <c r="E69" s="38"/>
      <c r="F69" s="58">
        <f>IF(B69&lt;C69,C69-B69,IF(B69&lt;D69,D69-B69,IF(B69&lt;E69,E69-B69,"")))</f>
        <v>3</v>
      </c>
      <c r="G69" s="73" t="s">
        <v>51</v>
      </c>
      <c r="H69" s="74" t="str">
        <f>IF(G69&lt;&gt;"",VLOOKUP(G69,Lookup!A:C,2,FALSE),"")</f>
        <v>Mech</v>
      </c>
      <c r="I69" s="74" t="str">
        <f>IF(G69&lt;&gt;"",VLOOKUP(G69,Lookup!A:C,3,FALSE),"")</f>
        <v>Goblin</v>
      </c>
      <c r="J69" s="74" t="str">
        <f>IF(G69&lt;&gt;"",IF(VLOOKUP(G69,Lookup!A:E,4,FALSE)="","",VLOOKUP(G69,Lookup!A:E,4,FALSE)),"")</f>
        <v/>
      </c>
      <c r="K69" s="75">
        <f>IF(G69&lt;&gt;"",VLOOKUP(G69,Lookup!A:E,5,FALSE),"")</f>
        <v>2</v>
      </c>
      <c r="L69" s="63">
        <f>IF(G69&lt;&gt;"",VLOOKUP(G69,Lookup!A:F,6,FALSE),"")</f>
        <v>4</v>
      </c>
    </row>
    <row r="70" spans="1:13" x14ac:dyDescent="0.25">
      <c r="A70" s="47" t="s">
        <v>50</v>
      </c>
      <c r="B70" s="33">
        <f t="shared" si="0"/>
        <v>1</v>
      </c>
      <c r="C70" s="43">
        <v>2</v>
      </c>
      <c r="D70" s="33"/>
      <c r="E70" s="38"/>
      <c r="F70" s="58">
        <f t="shared" ref="F70:F92" si="1">IF(B70&lt;C70,C70-B70,IF(B70&lt;D70,D70-B70,IF(B70&lt;E70,E70-B70,"")))</f>
        <v>1</v>
      </c>
      <c r="G70" s="73" t="s">
        <v>37</v>
      </c>
      <c r="H70" s="74" t="str">
        <f>IF(G70&lt;&gt;"",VLOOKUP(G70,Lookup!A:C,2,FALSE),"")</f>
        <v>Knight</v>
      </c>
      <c r="I70" s="74" t="str">
        <f>IF(G70&lt;&gt;"",VLOOKUP(G70,Lookup!A:C,3,FALSE),"")</f>
        <v>Human</v>
      </c>
      <c r="J70" s="74" t="str">
        <f>IF(G70&lt;&gt;"",IF(VLOOKUP(G70,Lookup!A:E,4,FALSE)="","",VLOOKUP(G70,Lookup!A:E,4,FALSE)),"")</f>
        <v>Dragon</v>
      </c>
      <c r="K70" s="75">
        <f>IF(G70&lt;&gt;"",VLOOKUP(G70,Lookup!A:E,5,FALSE),"")</f>
        <v>4</v>
      </c>
      <c r="L70" s="63">
        <f>IF(G70&lt;&gt;"",VLOOKUP(G70,Lookup!A:F,6,FALSE),"")</f>
        <v>4</v>
      </c>
      <c r="M70" s="60" t="s">
        <v>31</v>
      </c>
    </row>
    <row r="71" spans="1:13" x14ac:dyDescent="0.25">
      <c r="A71" s="47" t="s">
        <v>47</v>
      </c>
      <c r="B71" s="33">
        <f t="shared" si="0"/>
        <v>0</v>
      </c>
      <c r="C71" s="43">
        <v>2</v>
      </c>
      <c r="D71" s="33">
        <v>4</v>
      </c>
      <c r="E71" s="38"/>
      <c r="F71" s="58">
        <f t="shared" si="1"/>
        <v>2</v>
      </c>
      <c r="G71" s="73" t="s">
        <v>48</v>
      </c>
      <c r="H71" s="74" t="str">
        <f>IF(G71&lt;&gt;"",VLOOKUP(G71,Lookup!A:C,2,FALSE),"")</f>
        <v>Knight</v>
      </c>
      <c r="I71" s="74" t="str">
        <f>IF(G71&lt;&gt;"",VLOOKUP(G71,Lookup!A:C,3,FALSE),"")</f>
        <v>Elf</v>
      </c>
      <c r="J71" s="74" t="str">
        <f>IF(G71&lt;&gt;"",IF(VLOOKUP(G71,Lookup!A:E,4,FALSE)="","",VLOOKUP(G71,Lookup!A:E,4,FALSE)),"")</f>
        <v/>
      </c>
      <c r="K71" s="75">
        <f>IF(G71&lt;&gt;"",VLOOKUP(G71,Lookup!A:E,5,FALSE),"")</f>
        <v>2</v>
      </c>
      <c r="L71" s="63">
        <f>IF(G71&lt;&gt;"",VLOOKUP(G71,Lookup!A:F,6,FALSE),"")</f>
        <v>4</v>
      </c>
      <c r="M71" s="60" t="s">
        <v>9</v>
      </c>
    </row>
    <row r="72" spans="1:13" x14ac:dyDescent="0.25">
      <c r="A72" s="47" t="s">
        <v>13</v>
      </c>
      <c r="B72" s="33">
        <f t="shared" si="0"/>
        <v>0</v>
      </c>
      <c r="C72" s="43">
        <v>3</v>
      </c>
      <c r="D72" s="33">
        <v>6</v>
      </c>
      <c r="E72" s="38"/>
      <c r="F72" s="58">
        <f t="shared" si="1"/>
        <v>3</v>
      </c>
      <c r="G72" s="76" t="s">
        <v>52</v>
      </c>
      <c r="H72" s="77" t="str">
        <f>IF(G72&lt;&gt;"",VLOOKUP(G72,Lookup!A:C,2,FALSE),"")</f>
        <v>Assassin</v>
      </c>
      <c r="I72" s="77" t="str">
        <f>IF(G72&lt;&gt;"",VLOOKUP(G72,Lookup!A:C,3,FALSE),"")</f>
        <v>Element</v>
      </c>
      <c r="J72" s="77" t="str">
        <f>IF(G72&lt;&gt;"",IF(VLOOKUP(G72,Lookup!A:E,4,FALSE)="","",VLOOKUP(G72,Lookup!A:E,4,FALSE)),"")</f>
        <v/>
      </c>
      <c r="K72" s="78">
        <f>IF(G72&lt;&gt;"",VLOOKUP(G72,Lookup!A:E,5,FALSE),"")</f>
        <v>2</v>
      </c>
      <c r="L72" s="63">
        <f>IF(G72&lt;&gt;"",VLOOKUP(G72,Lookup!A:F,6,FALSE),"")</f>
        <v>5</v>
      </c>
    </row>
    <row r="73" spans="1:13" x14ac:dyDescent="0.25">
      <c r="A73" s="47" t="s">
        <v>27</v>
      </c>
      <c r="B73" s="33">
        <f t="shared" si="0"/>
        <v>0</v>
      </c>
      <c r="C73" s="43">
        <v>2</v>
      </c>
      <c r="D73" s="33">
        <v>4</v>
      </c>
      <c r="E73" s="38">
        <v>6</v>
      </c>
      <c r="F73" s="58">
        <f t="shared" si="1"/>
        <v>2</v>
      </c>
      <c r="G73" s="76" t="s">
        <v>57</v>
      </c>
      <c r="H73" s="77" t="str">
        <f>IF(G73&lt;&gt;"",VLOOKUP(G73,Lookup!A:C,2,FALSE),"")</f>
        <v>Druid</v>
      </c>
      <c r="I73" s="77" t="str">
        <f>IF(G73&lt;&gt;"",VLOOKUP(G73,Lookup!A:C,3,FALSE),"")</f>
        <v>Elf</v>
      </c>
      <c r="J73" s="77" t="str">
        <f>IF(G73&lt;&gt;"",IF(VLOOKUP(G73,Lookup!A:E,4,FALSE)="","",VLOOKUP(G73,Lookup!A:E,4,FALSE)),"")</f>
        <v/>
      </c>
      <c r="K73" s="78">
        <f>IF(G73&lt;&gt;"",VLOOKUP(G73,Lookup!A:E,5,FALSE),"")</f>
        <v>2</v>
      </c>
      <c r="L73" s="63">
        <f>IF(G73&lt;&gt;"",VLOOKUP(G73,Lookup!A:F,6,FALSE),"")</f>
        <v>5</v>
      </c>
      <c r="M73" s="60" t="s">
        <v>9</v>
      </c>
    </row>
    <row r="74" spans="1:13" x14ac:dyDescent="0.25">
      <c r="A74" s="47" t="s">
        <v>34</v>
      </c>
      <c r="B74" s="33">
        <f t="shared" si="0"/>
        <v>2</v>
      </c>
      <c r="C74" s="43">
        <v>3</v>
      </c>
      <c r="D74" s="33">
        <v>6</v>
      </c>
      <c r="E74" s="38"/>
      <c r="F74" s="58">
        <f t="shared" si="1"/>
        <v>1</v>
      </c>
      <c r="G74" s="79" t="s">
        <v>56</v>
      </c>
      <c r="H74" s="80" t="str">
        <f>IF(G74&lt;&gt;"",VLOOKUP(G74,Lookup!A:C,2,FALSE),"")</f>
        <v>Assassin</v>
      </c>
      <c r="I74" s="80" t="str">
        <f>IF(G74&lt;&gt;"",VLOOKUP(G74,Lookup!A:C,3,FALSE),"")</f>
        <v>Beast</v>
      </c>
      <c r="J74" s="80" t="str">
        <f>IF(G74&lt;&gt;"",IF(VLOOKUP(G74,Lookup!A:E,4,FALSE)="","",VLOOKUP(G74,Lookup!A:E,4,FALSE)),"")</f>
        <v/>
      </c>
      <c r="K74" s="81">
        <f>IF(G74&lt;&gt;"",VLOOKUP(G74,Lookup!A:E,5,FALSE),"")</f>
        <v>3</v>
      </c>
      <c r="L74" s="63">
        <f>IF(G74&lt;&gt;"",VLOOKUP(G74,Lookup!A:F,6,FALSE),"")</f>
        <v>6</v>
      </c>
    </row>
    <row r="75" spans="1:13" x14ac:dyDescent="0.25">
      <c r="A75" s="47" t="s">
        <v>5</v>
      </c>
      <c r="B75" s="33">
        <f t="shared" si="0"/>
        <v>0</v>
      </c>
      <c r="C75" s="43">
        <v>2</v>
      </c>
      <c r="D75" s="33">
        <v>4</v>
      </c>
      <c r="E75" s="38"/>
      <c r="F75" s="58">
        <f t="shared" si="1"/>
        <v>2</v>
      </c>
      <c r="G75" s="79" t="s">
        <v>74</v>
      </c>
      <c r="H75" s="80" t="str">
        <f>IF(G75&lt;&gt;"",VLOOKUP(G75,Lookup!A:C,2,FALSE),"")</f>
        <v>Mage</v>
      </c>
      <c r="I75" s="80" t="str">
        <f>IF(G75&lt;&gt;"",VLOOKUP(G75,Lookup!A:C,3,FALSE),"")</f>
        <v>Human</v>
      </c>
      <c r="J75" s="80" t="str">
        <f>IF(G75&lt;&gt;"",IF(VLOOKUP(G75,Lookup!A:E,4,FALSE)="","",VLOOKUP(G75,Lookup!A:E,4,FALSE)),"")</f>
        <v/>
      </c>
      <c r="K75" s="81">
        <f>IF(G75&lt;&gt;"",VLOOKUP(G75,Lookup!A:E,5,FALSE),"")</f>
        <v>2</v>
      </c>
      <c r="L75" s="63">
        <f>IF(G75&lt;&gt;"",VLOOKUP(G75,Lookup!A:F,6,FALSE),"")</f>
        <v>6</v>
      </c>
      <c r="M75" s="60" t="s">
        <v>34</v>
      </c>
    </row>
    <row r="76" spans="1:13" x14ac:dyDescent="0.25">
      <c r="A76" s="47" t="s">
        <v>69</v>
      </c>
      <c r="B76" s="33">
        <f t="shared" si="0"/>
        <v>0</v>
      </c>
      <c r="C76" s="43">
        <v>2</v>
      </c>
      <c r="D76" s="33"/>
      <c r="E76" s="38"/>
      <c r="F76" s="58">
        <f t="shared" si="1"/>
        <v>2</v>
      </c>
      <c r="G76" s="79" t="s">
        <v>75</v>
      </c>
      <c r="H76" s="80" t="str">
        <f>IF(G76&lt;&gt;"",VLOOKUP(G76,Lookup!A:C,2,FALSE),"")</f>
        <v>Mage</v>
      </c>
      <c r="I76" s="80" t="str">
        <f>IF(G76&lt;&gt;"",VLOOKUP(G76,Lookup!A:C,3,FALSE),"")</f>
        <v>Human</v>
      </c>
      <c r="J76" s="80" t="str">
        <f>IF(G76&lt;&gt;"",IF(VLOOKUP(G76,Lookup!A:E,4,FALSE)="","",VLOOKUP(G76,Lookup!A:E,4,FALSE)),"")</f>
        <v/>
      </c>
      <c r="K76" s="81">
        <f>IF(G76&lt;&gt;"",VLOOKUP(G76,Lookup!A:E,5,FALSE),"")</f>
        <v>4</v>
      </c>
      <c r="L76" s="63">
        <f>IF(G76&lt;&gt;"",VLOOKUP(G76,Lookup!A:F,6,FALSE),"")</f>
        <v>6</v>
      </c>
      <c r="M76" s="60" t="s">
        <v>34</v>
      </c>
    </row>
    <row r="77" spans="1:13" x14ac:dyDescent="0.25">
      <c r="A77" s="47" t="s">
        <v>18</v>
      </c>
      <c r="B77" s="33">
        <f t="shared" si="0"/>
        <v>0</v>
      </c>
      <c r="C77" s="43">
        <v>3</v>
      </c>
      <c r="D77" s="33">
        <v>6</v>
      </c>
      <c r="E77" s="38"/>
      <c r="F77" s="58">
        <f t="shared" si="1"/>
        <v>3</v>
      </c>
      <c r="G77" s="82" t="s">
        <v>29</v>
      </c>
      <c r="H77" s="83" t="str">
        <f>IF(G77&lt;&gt;"",VLOOKUP(G77,Lookup!A:C,2,FALSE),"")</f>
        <v>Assassin</v>
      </c>
      <c r="I77" s="83" t="str">
        <f>IF(G77&lt;&gt;"",VLOOKUP(G77,Lookup!A:C,3,FALSE),"")</f>
        <v>Naga</v>
      </c>
      <c r="J77" s="83" t="str">
        <f>IF(G77&lt;&gt;"",IF(VLOOKUP(G77,Lookup!A:E,4,FALSE)="","",VLOOKUP(G77,Lookup!A:E,4,FALSE)),"")</f>
        <v/>
      </c>
      <c r="K77" s="84">
        <f>IF(G77&lt;&gt;"",VLOOKUP(G77,Lookup!A:E,5,FALSE),"")</f>
        <v>3</v>
      </c>
      <c r="L77" s="63">
        <f>IF(G77&lt;&gt;"",VLOOKUP(G77,Lookup!A:F,6,FALSE),"")</f>
        <v>7</v>
      </c>
    </row>
    <row r="78" spans="1:13" x14ac:dyDescent="0.25">
      <c r="A78" s="47" t="s">
        <v>1</v>
      </c>
      <c r="B78" s="33">
        <f t="shared" si="0"/>
        <v>0</v>
      </c>
      <c r="C78" s="43">
        <v>3</v>
      </c>
      <c r="D78" s="33">
        <v>6</v>
      </c>
      <c r="E78" s="38">
        <v>9</v>
      </c>
      <c r="F78" s="58">
        <f t="shared" si="1"/>
        <v>3</v>
      </c>
      <c r="G78" s="82" t="s">
        <v>65</v>
      </c>
      <c r="H78" s="83" t="str">
        <f>IF(G78&lt;&gt;"",VLOOKUP(G78,Lookup!A:C,2,FALSE),"")</f>
        <v>Mage</v>
      </c>
      <c r="I78" s="83" t="str">
        <f>IF(G78&lt;&gt;"",VLOOKUP(G78,Lookup!A:C,3,FALSE),"")</f>
        <v>Human</v>
      </c>
      <c r="J78" s="83" t="str">
        <f>IF(G78&lt;&gt;"",IF(VLOOKUP(G78,Lookup!A:E,4,FALSE)="","",VLOOKUP(G78,Lookup!A:E,4,FALSE)),"")</f>
        <v/>
      </c>
      <c r="K78" s="84">
        <f>IF(G78&lt;&gt;"",VLOOKUP(G78,Lookup!A:E,5,FALSE),"")</f>
        <v>3</v>
      </c>
      <c r="L78" s="63">
        <f>IF(G78&lt;&gt;"",VLOOKUP(G78,Lookup!A:F,6,FALSE),"")</f>
        <v>7</v>
      </c>
      <c r="M78" s="60" t="s">
        <v>34</v>
      </c>
    </row>
    <row r="79" spans="1:13" x14ac:dyDescent="0.25">
      <c r="A79" s="29"/>
      <c r="B79" s="33"/>
      <c r="C79" s="43"/>
      <c r="D79" s="33"/>
      <c r="E79" s="38"/>
      <c r="F79" s="58" t="str">
        <f t="shared" si="1"/>
        <v/>
      </c>
      <c r="G79" s="82" t="s">
        <v>70</v>
      </c>
      <c r="H79" s="83" t="str">
        <f>IF(G79&lt;&gt;"",VLOOKUP(G79,Lookup!A:C,2,FALSE),"")</f>
        <v>Mech</v>
      </c>
      <c r="I79" s="83" t="str">
        <f>IF(G79&lt;&gt;"",VLOOKUP(G79,Lookup!A:C,3,FALSE),"")</f>
        <v>Goblin</v>
      </c>
      <c r="J79" s="83" t="str">
        <f>IF(G79&lt;&gt;"",IF(VLOOKUP(G79,Lookup!A:E,4,FALSE)="","",VLOOKUP(G79,Lookup!A:E,4,FALSE)),"")</f>
        <v/>
      </c>
      <c r="K79" s="84">
        <f>IF(G79&lt;&gt;"",VLOOKUP(G79,Lookup!A:E,5,FALSE),"")</f>
        <v>1</v>
      </c>
      <c r="L79" s="63">
        <f>IF(G79&lt;&gt;"",VLOOKUP(G79,Lookup!A:F,6,FALSE),"")</f>
        <v>7</v>
      </c>
    </row>
    <row r="80" spans="1:13" x14ac:dyDescent="0.25">
      <c r="A80" s="47" t="s">
        <v>41</v>
      </c>
      <c r="B80" s="33">
        <f t="shared" ref="B80:B92" si="2">COUNTIF($E$57:$E$66,A80)+COUNTIF($D$57:$D$66,A80)</f>
        <v>0</v>
      </c>
      <c r="C80" s="43">
        <v>2</v>
      </c>
      <c r="D80" s="33">
        <v>4</v>
      </c>
      <c r="E80" s="38">
        <v>6</v>
      </c>
      <c r="F80" s="58">
        <f t="shared" si="1"/>
        <v>2</v>
      </c>
      <c r="G80" s="82" t="s">
        <v>62</v>
      </c>
      <c r="H80" s="83" t="str">
        <f>IF(G80&lt;&gt;"",VLOOKUP(G80,Lookup!A:C,2,FALSE),"")</f>
        <v>Druid</v>
      </c>
      <c r="I80" s="83" t="str">
        <f>IF(G80&lt;&gt;"",VLOOKUP(G80,Lookup!A:C,3,FALSE),"")</f>
        <v>Elf</v>
      </c>
      <c r="J80" s="83" t="str">
        <f>IF(G80&lt;&gt;"",IF(VLOOKUP(G80,Lookup!A:E,4,FALSE)="","",VLOOKUP(G80,Lookup!A:E,4,FALSE)),"")</f>
        <v/>
      </c>
      <c r="K80" s="84">
        <f>IF(G80&lt;&gt;"",VLOOKUP(G80,Lookup!A:E,5,FALSE),"")</f>
        <v>2</v>
      </c>
      <c r="L80" s="63">
        <f>IF(G80&lt;&gt;"",VLOOKUP(G80,Lookup!A:F,6,FALSE),"")</f>
        <v>7</v>
      </c>
      <c r="M80" s="60" t="s">
        <v>9</v>
      </c>
    </row>
    <row r="81" spans="1:14" x14ac:dyDescent="0.25">
      <c r="A81" s="47" t="s">
        <v>2</v>
      </c>
      <c r="B81" s="33">
        <f t="shared" si="2"/>
        <v>1</v>
      </c>
      <c r="C81" s="43"/>
      <c r="D81" s="33"/>
      <c r="E81" s="38"/>
      <c r="F81" s="58" t="str">
        <f t="shared" si="1"/>
        <v/>
      </c>
      <c r="G81" s="57"/>
      <c r="H81" s="67" t="str">
        <f>IF(G81&lt;&gt;"",VLOOKUP(G81,Lookup!A:C,2,FALSE),"")</f>
        <v/>
      </c>
      <c r="I81" s="67" t="str">
        <f>IF(G81&lt;&gt;"",VLOOKUP(G81,Lookup!A:C,3,FALSE),"")</f>
        <v/>
      </c>
      <c r="J81" s="67" t="str">
        <f>IF(G81&lt;&gt;"",IF(VLOOKUP(G81,Lookup!A:E,4,FALSE)="","",VLOOKUP(G81,Lookup!A:E,4,FALSE)),"")</f>
        <v/>
      </c>
      <c r="K81" s="68" t="str">
        <f>IF(G81&lt;&gt;"",VLOOKUP(G81,Lookup!A:E,5,FALSE),"")</f>
        <v/>
      </c>
      <c r="L81" s="63" t="str">
        <f>IF(G81&lt;&gt;"",VLOOKUP(G81,Lookup!A:F,6,FALSE),"")</f>
        <v/>
      </c>
    </row>
    <row r="82" spans="1:14" x14ac:dyDescent="0.25">
      <c r="A82" s="47" t="s">
        <v>31</v>
      </c>
      <c r="B82" s="33">
        <f t="shared" si="2"/>
        <v>2</v>
      </c>
      <c r="C82" s="43">
        <v>3</v>
      </c>
      <c r="D82" s="33"/>
      <c r="E82" s="38"/>
      <c r="F82" s="58">
        <f t="shared" si="1"/>
        <v>1</v>
      </c>
      <c r="G82" s="57"/>
      <c r="H82" s="67" t="str">
        <f>IF(G82&lt;&gt;"",VLOOKUP(G82,Lookup!A:C,2,FALSE),"")</f>
        <v/>
      </c>
      <c r="I82" s="67" t="str">
        <f>IF(G82&lt;&gt;"",VLOOKUP(G82,Lookup!A:C,3,FALSE),"")</f>
        <v/>
      </c>
      <c r="J82" s="67" t="str">
        <f>IF(G82&lt;&gt;"",IF(VLOOKUP(G82,Lookup!A:E,4,FALSE)="","",VLOOKUP(G82,Lookup!A:E,4,FALSE)),"")</f>
        <v/>
      </c>
      <c r="K82" s="68" t="str">
        <f>IF(G82&lt;&gt;"",VLOOKUP(G82,Lookup!A:E,5,FALSE),"")</f>
        <v/>
      </c>
      <c r="L82" s="63" t="str">
        <f>IF(G82&lt;&gt;"",VLOOKUP(G82,Lookup!A:F,6,FALSE),"")</f>
        <v/>
      </c>
      <c r="N82" s="94"/>
    </row>
    <row r="83" spans="1:14" x14ac:dyDescent="0.25">
      <c r="A83" s="47" t="s">
        <v>6</v>
      </c>
      <c r="B83" s="33">
        <f t="shared" si="2"/>
        <v>0</v>
      </c>
      <c r="C83" s="43"/>
      <c r="D83" s="33"/>
      <c r="E83" s="38"/>
      <c r="F83" s="58" t="str">
        <f t="shared" si="1"/>
        <v/>
      </c>
      <c r="G83" s="57"/>
      <c r="H83" s="67" t="str">
        <f>IF(G83&lt;&gt;"",VLOOKUP(G83,Lookup!A:C,2,FALSE),"")</f>
        <v/>
      </c>
      <c r="I83" s="67" t="str">
        <f>IF(G83&lt;&gt;"",VLOOKUP(G83,Lookup!A:C,3,FALSE),"")</f>
        <v/>
      </c>
      <c r="J83" s="67" t="str">
        <f>IF(G83&lt;&gt;"",IF(VLOOKUP(G83,Lookup!A:E,4,FALSE)="","",VLOOKUP(G83,Lookup!A:E,4,FALSE)),"")</f>
        <v/>
      </c>
      <c r="K83" s="68" t="str">
        <f>IF(G83&lt;&gt;"",VLOOKUP(G83,Lookup!A:E,5,FALSE),"")</f>
        <v/>
      </c>
      <c r="L83" s="63" t="str">
        <f>IF(G83&lt;&gt;"",VLOOKUP(G83,Lookup!A:F,6,FALSE),"")</f>
        <v/>
      </c>
    </row>
    <row r="84" spans="1:14" x14ac:dyDescent="0.25">
      <c r="A84" s="47" t="s">
        <v>35</v>
      </c>
      <c r="B84" s="33">
        <f t="shared" si="2"/>
        <v>0</v>
      </c>
      <c r="C84" s="43">
        <v>2</v>
      </c>
      <c r="D84" s="33">
        <v>4</v>
      </c>
      <c r="E84" s="38"/>
      <c r="F84" s="58">
        <f t="shared" si="1"/>
        <v>2</v>
      </c>
      <c r="G84" s="57"/>
      <c r="H84" s="67" t="str">
        <f>IF(G84&lt;&gt;"",VLOOKUP(G84,Lookup!A:C,2,FALSE),"")</f>
        <v/>
      </c>
      <c r="I84" s="67" t="str">
        <f>IF(G84&lt;&gt;"",VLOOKUP(G84,Lookup!A:C,3,FALSE),"")</f>
        <v/>
      </c>
      <c r="J84" s="67" t="str">
        <f>IF(G84&lt;&gt;"",IF(VLOOKUP(G84,Lookup!A:E,4,FALSE)="","",VLOOKUP(G84,Lookup!A:E,4,FALSE)),"")</f>
        <v/>
      </c>
      <c r="K84" s="68" t="str">
        <f>IF(G84&lt;&gt;"",VLOOKUP(G84,Lookup!A:E,5,FALSE),"")</f>
        <v/>
      </c>
      <c r="L84" s="63" t="str">
        <f>IF(G84&lt;&gt;"",VLOOKUP(G84,Lookup!A:F,6,FALSE),"")</f>
        <v/>
      </c>
    </row>
    <row r="85" spans="1:14" x14ac:dyDescent="0.25">
      <c r="A85" s="47" t="s">
        <v>9</v>
      </c>
      <c r="B85" s="33">
        <f t="shared" si="2"/>
        <v>2</v>
      </c>
      <c r="C85" s="43">
        <v>3</v>
      </c>
      <c r="D85" s="33">
        <v>6</v>
      </c>
      <c r="E85" s="38"/>
      <c r="F85" s="58">
        <f t="shared" si="1"/>
        <v>1</v>
      </c>
      <c r="G85" s="57"/>
      <c r="H85" s="67" t="str">
        <f>IF(G85&lt;&gt;"",VLOOKUP(G85,Lookup!A:C,2,FALSE),"")</f>
        <v/>
      </c>
      <c r="I85" s="67" t="str">
        <f>IF(G85&lt;&gt;"",VLOOKUP(G85,Lookup!A:C,3,FALSE),"")</f>
        <v/>
      </c>
      <c r="J85" s="67" t="str">
        <f>IF(G85&lt;&gt;"",IF(VLOOKUP(G85,Lookup!A:E,4,FALSE)="","",VLOOKUP(G85,Lookup!A:E,4,FALSE)),"")</f>
        <v/>
      </c>
      <c r="K85" s="68" t="str">
        <f>IF(G85&lt;&gt;"",VLOOKUP(G85,Lookup!A:E,5,FALSE),"")</f>
        <v/>
      </c>
      <c r="L85" s="63" t="str">
        <f>IF(G85&lt;&gt;"",VLOOKUP(G85,Lookup!A:F,6,FALSE),"")</f>
        <v/>
      </c>
    </row>
    <row r="86" spans="1:14" x14ac:dyDescent="0.25">
      <c r="A86" s="47" t="s">
        <v>19</v>
      </c>
      <c r="B86" s="33">
        <f t="shared" si="2"/>
        <v>1</v>
      </c>
      <c r="C86" s="43">
        <v>3</v>
      </c>
      <c r="D86" s="33">
        <v>6</v>
      </c>
      <c r="E86" s="38"/>
      <c r="F86" s="58">
        <f t="shared" si="1"/>
        <v>2</v>
      </c>
      <c r="G86" s="57"/>
      <c r="H86" s="67" t="str">
        <f>IF(G86&lt;&gt;"",VLOOKUP(G86,Lookup!A:C,2,FALSE),"")</f>
        <v/>
      </c>
      <c r="I86" s="67" t="str">
        <f>IF(G86&lt;&gt;"",VLOOKUP(G86,Lookup!A:C,3,FALSE),"")</f>
        <v/>
      </c>
      <c r="J86" s="67" t="str">
        <f>IF(G86&lt;&gt;"",IF(VLOOKUP(G86,Lookup!A:E,4,FALSE)="","",VLOOKUP(G86,Lookup!A:E,4,FALSE)),"")</f>
        <v/>
      </c>
      <c r="K86" s="68" t="str">
        <f>IF(G86&lt;&gt;"",VLOOKUP(G86,Lookup!A:E,5,FALSE),"")</f>
        <v/>
      </c>
      <c r="L86" s="63" t="str">
        <f>IF(G86&lt;&gt;"",VLOOKUP(G86,Lookup!A:F,6,FALSE),"")</f>
        <v/>
      </c>
    </row>
    <row r="87" spans="1:14" x14ac:dyDescent="0.25">
      <c r="A87" s="47" t="s">
        <v>24</v>
      </c>
      <c r="B87" s="33">
        <f t="shared" si="2"/>
        <v>0</v>
      </c>
      <c r="C87" s="43">
        <v>2</v>
      </c>
      <c r="D87" s="33">
        <v>4</v>
      </c>
      <c r="E87" s="38">
        <v>6</v>
      </c>
      <c r="F87" s="58">
        <f t="shared" si="1"/>
        <v>2</v>
      </c>
      <c r="G87" s="57"/>
      <c r="H87" s="67" t="str">
        <f>IF(G87&lt;&gt;"",VLOOKUP(G87,Lookup!A:C,2,FALSE),"")</f>
        <v/>
      </c>
      <c r="I87" s="67" t="str">
        <f>IF(G87&lt;&gt;"",VLOOKUP(G87,Lookup!A:C,3,FALSE),"")</f>
        <v/>
      </c>
      <c r="J87" s="67" t="str">
        <f>IF(G87&lt;&gt;"",IF(VLOOKUP(G87,Lookup!A:E,4,FALSE)="","",VLOOKUP(G87,Lookup!A:E,4,FALSE)),"")</f>
        <v/>
      </c>
      <c r="K87" s="68" t="str">
        <f>IF(G87&lt;&gt;"",VLOOKUP(G87,Lookup!A:E,5,FALSE),"")</f>
        <v/>
      </c>
      <c r="L87" s="63" t="str">
        <f>IF(G87&lt;&gt;"",VLOOKUP(G87,Lookup!A:F,6,FALSE),"")</f>
        <v/>
      </c>
    </row>
    <row r="88" spans="1:14" x14ac:dyDescent="0.25">
      <c r="A88" s="47" t="s">
        <v>11</v>
      </c>
      <c r="B88" s="33">
        <f t="shared" si="2"/>
        <v>0</v>
      </c>
      <c r="C88" s="43">
        <v>2</v>
      </c>
      <c r="D88" s="33">
        <v>4</v>
      </c>
      <c r="E88" s="38"/>
      <c r="F88" s="58">
        <f t="shared" si="1"/>
        <v>2</v>
      </c>
      <c r="G88" s="57"/>
      <c r="H88" s="67" t="str">
        <f>IF(G88&lt;&gt;"",VLOOKUP(G88,Lookup!A:C,2,FALSE),"")</f>
        <v/>
      </c>
      <c r="I88" s="67" t="str">
        <f>IF(G88&lt;&gt;"",VLOOKUP(G88,Lookup!A:C,3,FALSE),"")</f>
        <v/>
      </c>
      <c r="J88" s="67" t="str">
        <f>IF(G88&lt;&gt;"",IF(VLOOKUP(G88,Lookup!A:E,4,FALSE)="","",VLOOKUP(G88,Lookup!A:E,4,FALSE)),"")</f>
        <v/>
      </c>
      <c r="K88" s="68" t="str">
        <f>IF(G88&lt;&gt;"",VLOOKUP(G88,Lookup!A:E,5,FALSE),"")</f>
        <v/>
      </c>
      <c r="L88" s="63" t="str">
        <f>IF(G88&lt;&gt;"",VLOOKUP(G88,Lookup!A:F,6,FALSE),"")</f>
        <v/>
      </c>
    </row>
    <row r="89" spans="1:14" x14ac:dyDescent="0.25">
      <c r="A89" s="47" t="s">
        <v>45</v>
      </c>
      <c r="B89" s="33">
        <f t="shared" si="2"/>
        <v>1</v>
      </c>
      <c r="C89" s="43"/>
      <c r="D89" s="33"/>
      <c r="E89" s="38"/>
      <c r="F89" s="58" t="str">
        <f t="shared" si="1"/>
        <v/>
      </c>
      <c r="G89" s="57"/>
      <c r="H89" s="67" t="str">
        <f>IF(G89&lt;&gt;"",VLOOKUP(G89,Lookup!A:C,2,FALSE),"")</f>
        <v/>
      </c>
      <c r="I89" s="67" t="str">
        <f>IF(G89&lt;&gt;"",VLOOKUP(G89,Lookup!A:C,3,FALSE),"")</f>
        <v/>
      </c>
      <c r="J89" s="67" t="str">
        <f>IF(G89&lt;&gt;"",IF(VLOOKUP(G89,Lookup!A:E,4,FALSE)="","",VLOOKUP(G89,Lookup!A:E,4,FALSE)),"")</f>
        <v/>
      </c>
      <c r="K89" s="68" t="str">
        <f>IF(G89&lt;&gt;"",VLOOKUP(G89,Lookup!A:E,5,FALSE),"")</f>
        <v/>
      </c>
      <c r="L89" s="63" t="str">
        <f>IF(G89&lt;&gt;"",VLOOKUP(G89,Lookup!A:F,6,FALSE),"")</f>
        <v/>
      </c>
    </row>
    <row r="90" spans="1:14" x14ac:dyDescent="0.25">
      <c r="A90" s="47" t="s">
        <v>16</v>
      </c>
      <c r="B90" s="33">
        <f t="shared" si="2"/>
        <v>0</v>
      </c>
      <c r="C90" s="43">
        <v>2</v>
      </c>
      <c r="D90" s="33">
        <v>4</v>
      </c>
      <c r="E90" s="38"/>
      <c r="F90" s="58">
        <f t="shared" si="1"/>
        <v>2</v>
      </c>
      <c r="G90" s="57"/>
      <c r="H90" s="67" t="str">
        <f>IF(G90&lt;&gt;"",VLOOKUP(G90,Lookup!A:C,2,FALSE),"")</f>
        <v/>
      </c>
      <c r="I90" s="67" t="str">
        <f>IF(G90&lt;&gt;"",VLOOKUP(G90,Lookup!A:C,3,FALSE),"")</f>
        <v/>
      </c>
      <c r="J90" s="67" t="str">
        <f>IF(G90&lt;&gt;"",IF(VLOOKUP(G90,Lookup!A:E,4,FALSE)="","",VLOOKUP(G90,Lookup!A:E,4,FALSE)),"")</f>
        <v/>
      </c>
      <c r="K90" s="68" t="str">
        <f>IF(G90&lt;&gt;"",VLOOKUP(G90,Lookup!A:E,5,FALSE),"")</f>
        <v/>
      </c>
      <c r="L90" s="63" t="str">
        <f>IF(G90&lt;&gt;"",VLOOKUP(G90,Lookup!A:F,6,FALSE),"")</f>
        <v/>
      </c>
    </row>
    <row r="91" spans="1:14" x14ac:dyDescent="0.25">
      <c r="A91" s="47" t="s">
        <v>3</v>
      </c>
      <c r="B91" s="33">
        <f t="shared" si="2"/>
        <v>0</v>
      </c>
      <c r="C91" s="43">
        <v>2</v>
      </c>
      <c r="D91" s="33">
        <v>4</v>
      </c>
      <c r="E91" s="38"/>
      <c r="F91" s="58">
        <f t="shared" si="1"/>
        <v>2</v>
      </c>
      <c r="G91" s="57"/>
      <c r="H91" s="67" t="str">
        <f>IF(G91&lt;&gt;"",VLOOKUP(G91,Lookup!A:C,2,FALSE),"")</f>
        <v/>
      </c>
      <c r="I91" s="67" t="str">
        <f>IF(G91&lt;&gt;"",VLOOKUP(G91,Lookup!A:C,3,FALSE),"")</f>
        <v/>
      </c>
      <c r="J91" s="67" t="str">
        <f>IF(G91&lt;&gt;"",IF(VLOOKUP(G91,Lookup!A:E,4,FALSE)="","",VLOOKUP(G91,Lookup!A:E,4,FALSE)),"")</f>
        <v/>
      </c>
      <c r="K91" s="68" t="str">
        <f>IF(G91&lt;&gt;"",VLOOKUP(G91,Lookup!A:E,5,FALSE),"")</f>
        <v/>
      </c>
      <c r="L91" s="63" t="str">
        <f>IF(G91&lt;&gt;"",VLOOKUP(G91,Lookup!A:F,6,FALSE),"")</f>
        <v/>
      </c>
    </row>
    <row r="92" spans="1:14" ht="15.75" thickBot="1" x14ac:dyDescent="0.3">
      <c r="A92" s="48" t="s">
        <v>39</v>
      </c>
      <c r="B92" s="36">
        <f t="shared" si="2"/>
        <v>0</v>
      </c>
      <c r="C92" s="49">
        <v>2</v>
      </c>
      <c r="D92" s="36">
        <v>4</v>
      </c>
      <c r="E92" s="39"/>
      <c r="F92" s="58">
        <f t="shared" si="1"/>
        <v>2</v>
      </c>
      <c r="G92" s="57"/>
      <c r="H92" s="67" t="str">
        <f>IF(G92&lt;&gt;"",VLOOKUP(G92,Lookup!A:C,2,FALSE),"")</f>
        <v/>
      </c>
      <c r="I92" s="67" t="str">
        <f>IF(G92&lt;&gt;"",VLOOKUP(G92,Lookup!A:C,3,FALSE),"")</f>
        <v/>
      </c>
      <c r="J92" s="67" t="str">
        <f>IF(G92&lt;&gt;"",IF(VLOOKUP(G92,Lookup!A:E,4,FALSE)="","",VLOOKUP(G92,Lookup!A:E,4,FALSE)),"")</f>
        <v/>
      </c>
      <c r="K92" s="68" t="str">
        <f>IF(G92&lt;&gt;"",VLOOKUP(G92,Lookup!A:E,5,FALSE),"")</f>
        <v/>
      </c>
      <c r="L92" s="63" t="str">
        <f>IF(G92&lt;&gt;"",VLOOKUP(G92,Lookup!A:F,6,FALSE),"")</f>
        <v/>
      </c>
    </row>
    <row r="93" spans="1:14" x14ac:dyDescent="0.25">
      <c r="G93" s="57"/>
      <c r="H93" s="67" t="str">
        <f>IF(G93&lt;&gt;"",VLOOKUP(G93,Lookup!A:C,2,FALSE),"")</f>
        <v/>
      </c>
      <c r="I93" s="67" t="str">
        <f>IF(G93&lt;&gt;"",VLOOKUP(G93,Lookup!A:C,3,FALSE),"")</f>
        <v/>
      </c>
      <c r="J93" s="67" t="str">
        <f>IF(G93&lt;&gt;"",IF(VLOOKUP(G93,Lookup!A:E,4,FALSE)="","",VLOOKUP(G93,Lookup!A:E,4,FALSE)),"")</f>
        <v/>
      </c>
      <c r="K93" s="68" t="str">
        <f>IF(G93&lt;&gt;"",VLOOKUP(G93,Lookup!A:E,5,FALSE),"")</f>
        <v/>
      </c>
      <c r="L93" s="63" t="str">
        <f>IF(G93&lt;&gt;"",VLOOKUP(G93,Lookup!A:F,6,FALSE),"")</f>
        <v/>
      </c>
    </row>
    <row r="94" spans="1:14" x14ac:dyDescent="0.25">
      <c r="A94" t="s">
        <v>100</v>
      </c>
      <c r="G94" s="57"/>
      <c r="H94" s="67" t="str">
        <f>IF(G94&lt;&gt;"",VLOOKUP(G94,Lookup!A:C,2,FALSE),"")</f>
        <v/>
      </c>
      <c r="I94" s="67" t="str">
        <f>IF(G94&lt;&gt;"",VLOOKUP(G94,Lookup!A:C,3,FALSE),"")</f>
        <v/>
      </c>
      <c r="J94" s="67" t="str">
        <f>IF(G94&lt;&gt;"",IF(VLOOKUP(G94,Lookup!A:E,4,FALSE)="","",VLOOKUP(G94,Lookup!A:E,4,FALSE)),"")</f>
        <v/>
      </c>
      <c r="K94" s="68" t="str">
        <f>IF(G94&lt;&gt;"",VLOOKUP(G94,Lookup!A:E,5,FALSE),"")</f>
        <v/>
      </c>
      <c r="L94" s="63" t="str">
        <f>IF(G94&lt;&gt;"",VLOOKUP(G94,Lookup!A:F,6,FALSE),"")</f>
        <v/>
      </c>
    </row>
    <row r="95" spans="1:14" x14ac:dyDescent="0.25">
      <c r="G95" s="57"/>
      <c r="H95" s="67" t="str">
        <f>IF(G95&lt;&gt;"",VLOOKUP(G95,Lookup!A:C,2,FALSE),"")</f>
        <v/>
      </c>
      <c r="I95" s="67" t="str">
        <f>IF(G95&lt;&gt;"",VLOOKUP(G95,Lookup!A:C,3,FALSE),"")</f>
        <v/>
      </c>
      <c r="J95" s="67" t="str">
        <f>IF(G95&lt;&gt;"",IF(VLOOKUP(G95,Lookup!A:E,4,FALSE)="","",VLOOKUP(G95,Lookup!A:E,4,FALSE)),"")</f>
        <v/>
      </c>
      <c r="K95" s="68" t="str">
        <f>IF(G95&lt;&gt;"",VLOOKUP(G95,Lookup!A:E,5,FALSE),"")</f>
        <v/>
      </c>
      <c r="L95" s="63" t="str">
        <f>IF(G95&lt;&gt;"",VLOOKUP(G95,Lookup!A:F,6,FALSE),"")</f>
        <v/>
      </c>
    </row>
    <row r="96" spans="1:14" x14ac:dyDescent="0.25">
      <c r="G96" s="57"/>
      <c r="H96" s="67" t="str">
        <f>IF(G96&lt;&gt;"",VLOOKUP(G96,Lookup!A:C,2,FALSE),"")</f>
        <v/>
      </c>
      <c r="I96" s="67" t="str">
        <f>IF(G96&lt;&gt;"",VLOOKUP(G96,Lookup!A:C,3,FALSE),"")</f>
        <v/>
      </c>
      <c r="J96" s="67" t="str">
        <f>IF(G96&lt;&gt;"",IF(VLOOKUP(G96,Lookup!A:E,4,FALSE)="","",VLOOKUP(G96,Lookup!A:E,4,FALSE)),"")</f>
        <v/>
      </c>
      <c r="K96" s="68" t="str">
        <f>IF(G96&lt;&gt;"",VLOOKUP(G96,Lookup!A:E,5,FALSE),"")</f>
        <v/>
      </c>
      <c r="L96" s="63" t="str">
        <f>IF(G96&lt;&gt;"",VLOOKUP(G96,Lookup!A:F,6,FALSE),"")</f>
        <v/>
      </c>
    </row>
    <row r="97" spans="7:16" x14ac:dyDescent="0.25">
      <c r="G97" s="57"/>
      <c r="H97" s="67" t="str">
        <f>IF(G97&lt;&gt;"",VLOOKUP(G97,Lookup!A:C,2,FALSE),"")</f>
        <v/>
      </c>
      <c r="I97" s="67" t="str">
        <f>IF(G97&lt;&gt;"",VLOOKUP(G97,Lookup!A:C,3,FALSE),"")</f>
        <v/>
      </c>
      <c r="J97" s="67" t="str">
        <f>IF(G97&lt;&gt;"",IF(VLOOKUP(G97,Lookup!A:E,4,FALSE)="","",VLOOKUP(G97,Lookup!A:E,4,FALSE)),"")</f>
        <v/>
      </c>
      <c r="K97" s="68" t="str">
        <f>IF(G97&lt;&gt;"",VLOOKUP(G97,Lookup!A:E,5,FALSE),"")</f>
        <v/>
      </c>
      <c r="L97" s="63" t="str">
        <f>IF(G97&lt;&gt;"",VLOOKUP(G97,Lookup!A:F,6,FALSE),"")</f>
        <v/>
      </c>
    </row>
    <row r="98" spans="7:16" x14ac:dyDescent="0.25">
      <c r="G98" s="57"/>
      <c r="H98" s="67" t="str">
        <f>IF(G98&lt;&gt;"",VLOOKUP(G98,Lookup!A:C,2,FALSE),"")</f>
        <v/>
      </c>
      <c r="I98" s="67" t="str">
        <f>IF(G98&lt;&gt;"",VLOOKUP(G98,Lookup!A:C,3,FALSE),"")</f>
        <v/>
      </c>
      <c r="J98" s="67" t="str">
        <f>IF(G98&lt;&gt;"",IF(VLOOKUP(G98,Lookup!A:E,4,FALSE)="","",VLOOKUP(G98,Lookup!A:E,4,FALSE)),"")</f>
        <v/>
      </c>
      <c r="K98" s="68" t="str">
        <f>IF(G98&lt;&gt;"",VLOOKUP(G98,Lookup!A:E,5,FALSE),"")</f>
        <v/>
      </c>
      <c r="L98" s="63" t="str">
        <f>IF(G98&lt;&gt;"",VLOOKUP(G98,Lookup!A:F,6,FALSE),"")</f>
        <v/>
      </c>
    </row>
    <row r="99" spans="7:16" x14ac:dyDescent="0.25">
      <c r="G99" s="57"/>
      <c r="H99" s="67" t="str">
        <f>IF(G99&lt;&gt;"",VLOOKUP(G99,Lookup!A:C,2,FALSE),"")</f>
        <v/>
      </c>
      <c r="I99" s="67" t="str">
        <f>IF(G99&lt;&gt;"",VLOOKUP(G99,Lookup!A:C,3,FALSE),"")</f>
        <v/>
      </c>
      <c r="J99" s="67" t="str">
        <f>IF(G99&lt;&gt;"",IF(VLOOKUP(G99,Lookup!A:E,4,FALSE)="","",VLOOKUP(G99,Lookup!A:E,4,FALSE)),"")</f>
        <v/>
      </c>
      <c r="K99" s="68" t="str">
        <f>IF(G99&lt;&gt;"",VLOOKUP(G99,Lookup!A:E,5,FALSE),"")</f>
        <v/>
      </c>
      <c r="L99" s="63" t="str">
        <f>IF(G99&lt;&gt;"",VLOOKUP(G99,Lookup!A:F,6,FALSE),"")</f>
        <v/>
      </c>
    </row>
    <row r="100" spans="7:16" x14ac:dyDescent="0.25">
      <c r="G100" s="57"/>
      <c r="H100" s="67" t="str">
        <f>IF(G100&lt;&gt;"",VLOOKUP(G100,Lookup!A:C,2,FALSE),"")</f>
        <v/>
      </c>
      <c r="I100" s="67" t="str">
        <f>IF(G100&lt;&gt;"",VLOOKUP(G100,Lookup!A:C,3,FALSE),"")</f>
        <v/>
      </c>
      <c r="J100" s="67" t="str">
        <f>IF(G100&lt;&gt;"",IF(VLOOKUP(G100,Lookup!A:E,4,FALSE)="","",VLOOKUP(G100,Lookup!A:E,4,FALSE)),"")</f>
        <v/>
      </c>
      <c r="K100" s="68" t="str">
        <f>IF(G100&lt;&gt;"",VLOOKUP(G100,Lookup!A:E,5,FALSE),"")</f>
        <v/>
      </c>
      <c r="L100" s="63" t="str">
        <f>IF(G100&lt;&gt;"",VLOOKUP(G100,Lookup!A:F,6,FALSE),"")</f>
        <v/>
      </c>
    </row>
    <row r="101" spans="7:16" x14ac:dyDescent="0.25">
      <c r="G101" s="57"/>
      <c r="H101" s="67" t="str">
        <f>IF(G101&lt;&gt;"",VLOOKUP(G101,Lookup!A:C,2,FALSE),"")</f>
        <v/>
      </c>
      <c r="I101" s="67" t="str">
        <f>IF(G101&lt;&gt;"",VLOOKUP(G101,Lookup!A:C,3,FALSE),"")</f>
        <v/>
      </c>
      <c r="J101" s="67" t="str">
        <f>IF(G101&lt;&gt;"",IF(VLOOKUP(G101,Lookup!A:E,4,FALSE)="","",VLOOKUP(G101,Lookup!A:E,4,FALSE)),"")</f>
        <v/>
      </c>
      <c r="K101" s="68" t="str">
        <f>IF(G101&lt;&gt;"",VLOOKUP(G101,Lookup!A:E,5,FALSE),"")</f>
        <v/>
      </c>
      <c r="L101" s="63" t="str">
        <f>IF(G101&lt;&gt;"",VLOOKUP(G101,Lookup!A:F,6,FALSE),"")</f>
        <v/>
      </c>
      <c r="P101" s="94"/>
    </row>
    <row r="102" spans="7:16" x14ac:dyDescent="0.25">
      <c r="G102" s="57"/>
      <c r="H102" s="67" t="str">
        <f>IF(G102&lt;&gt;"",VLOOKUP(G102,Lookup!A:C,2,FALSE),"")</f>
        <v/>
      </c>
      <c r="I102" s="67" t="str">
        <f>IF(G102&lt;&gt;"",VLOOKUP(G102,Lookup!A:C,3,FALSE),"")</f>
        <v/>
      </c>
      <c r="J102" s="67" t="str">
        <f>IF(G102&lt;&gt;"",IF(VLOOKUP(G102,Lookup!A:E,4,FALSE)="","",VLOOKUP(G102,Lookup!A:E,4,FALSE)),"")</f>
        <v/>
      </c>
      <c r="K102" s="68" t="str">
        <f>IF(G102&lt;&gt;"",VLOOKUP(G102,Lookup!A:E,5,FALSE),"")</f>
        <v/>
      </c>
      <c r="L102" s="63" t="str">
        <f>IF(G102&lt;&gt;"",VLOOKUP(G102,Lookup!A:F,6,FALSE),"")</f>
        <v/>
      </c>
      <c r="P102" s="94"/>
    </row>
    <row r="103" spans="7:16" x14ac:dyDescent="0.25">
      <c r="G103" s="57"/>
      <c r="H103" s="67" t="str">
        <f>IF(G103&lt;&gt;"",VLOOKUP(G103,Lookup!A:C,2,FALSE),"")</f>
        <v/>
      </c>
      <c r="I103" s="67" t="str">
        <f>IF(G103&lt;&gt;"",VLOOKUP(G103,Lookup!A:C,3,FALSE),"")</f>
        <v/>
      </c>
      <c r="J103" s="67" t="str">
        <f>IF(G103&lt;&gt;"",IF(VLOOKUP(G103,Lookup!A:E,4,FALSE)="","",VLOOKUP(G103,Lookup!A:E,4,FALSE)),"")</f>
        <v/>
      </c>
      <c r="K103" s="68" t="str">
        <f>IF(G103&lt;&gt;"",VLOOKUP(G103,Lookup!A:E,5,FALSE),"")</f>
        <v/>
      </c>
      <c r="L103" s="63" t="str">
        <f>IF(G103&lt;&gt;"",VLOOKUP(G103,Lookup!A:F,6,FALSE),"")</f>
        <v/>
      </c>
      <c r="P103" s="94"/>
    </row>
    <row r="104" spans="7:16" x14ac:dyDescent="0.25">
      <c r="G104" s="57"/>
      <c r="H104" s="67" t="str">
        <f>IF(G104&lt;&gt;"",VLOOKUP(G104,Lookup!A:C,2,FALSE),"")</f>
        <v/>
      </c>
      <c r="I104" s="67" t="str">
        <f>IF(G104&lt;&gt;"",VLOOKUP(G104,Lookup!A:C,3,FALSE),"")</f>
        <v/>
      </c>
      <c r="J104" s="67" t="str">
        <f>IF(G104&lt;&gt;"",IF(VLOOKUP(G104,Lookup!A:E,4,FALSE)="","",VLOOKUP(G104,Lookup!A:E,4,FALSE)),"")</f>
        <v/>
      </c>
      <c r="K104" s="68" t="str">
        <f>IF(G104&lt;&gt;"",VLOOKUP(G104,Lookup!A:E,5,FALSE),"")</f>
        <v/>
      </c>
      <c r="L104" s="63" t="str">
        <f>IF(G104&lt;&gt;"",VLOOKUP(G104,Lookup!A:F,6,FALSE),"")</f>
        <v/>
      </c>
      <c r="P104" s="94"/>
    </row>
    <row r="105" spans="7:16" x14ac:dyDescent="0.25">
      <c r="G105" s="57"/>
      <c r="H105" s="67" t="str">
        <f>IF(G105&lt;&gt;"",VLOOKUP(G105,Lookup!A:C,2,FALSE),"")</f>
        <v/>
      </c>
      <c r="I105" s="67" t="str">
        <f>IF(G105&lt;&gt;"",VLOOKUP(G105,Lookup!A:C,3,FALSE),"")</f>
        <v/>
      </c>
      <c r="J105" s="67" t="str">
        <f>IF(G105&lt;&gt;"",IF(VLOOKUP(G105,Lookup!A:E,4,FALSE)="","",VLOOKUP(G105,Lookup!A:E,4,FALSE)),"")</f>
        <v/>
      </c>
      <c r="K105" s="68" t="str">
        <f>IF(G105&lt;&gt;"",VLOOKUP(G105,Lookup!A:E,5,FALSE),"")</f>
        <v/>
      </c>
      <c r="L105" s="63" t="str">
        <f>IF(G105&lt;&gt;"",VLOOKUP(G105,Lookup!A:F,6,FALSE),"")</f>
        <v/>
      </c>
      <c r="P105" s="94"/>
    </row>
    <row r="106" spans="7:16" x14ac:dyDescent="0.25">
      <c r="G106" s="57"/>
      <c r="H106" s="67" t="str">
        <f>IF(G106&lt;&gt;"",VLOOKUP(G106,Lookup!A:C,2,FALSE),"")</f>
        <v/>
      </c>
      <c r="I106" s="67" t="str">
        <f>IF(G106&lt;&gt;"",VLOOKUP(G106,Lookup!A:C,3,FALSE),"")</f>
        <v/>
      </c>
      <c r="J106" s="67" t="str">
        <f>IF(G106&lt;&gt;"",IF(VLOOKUP(G106,Lookup!A:E,4,FALSE)="","",VLOOKUP(G106,Lookup!A:E,4,FALSE)),"")</f>
        <v/>
      </c>
      <c r="K106" s="68" t="str">
        <f>IF(G106&lt;&gt;"",VLOOKUP(G106,Lookup!A:E,5,FALSE),"")</f>
        <v/>
      </c>
      <c r="L106" s="63" t="str">
        <f>IF(G106&lt;&gt;"",VLOOKUP(G106,Lookup!A:F,6,FALSE),"")</f>
        <v/>
      </c>
      <c r="P106" s="94"/>
    </row>
    <row r="107" spans="7:16" x14ac:dyDescent="0.25">
      <c r="G107" s="57"/>
      <c r="H107" s="67" t="str">
        <f>IF(G107&lt;&gt;"",VLOOKUP(G107,Lookup!A:C,2,FALSE),"")</f>
        <v/>
      </c>
      <c r="I107" s="67" t="str">
        <f>IF(G107&lt;&gt;"",VLOOKUP(G107,Lookup!A:C,3,FALSE),"")</f>
        <v/>
      </c>
      <c r="J107" s="67" t="str">
        <f>IF(G107&lt;&gt;"",IF(VLOOKUP(G107,Lookup!A:E,4,FALSE)="","",VLOOKUP(G107,Lookup!A:E,4,FALSE)),"")</f>
        <v/>
      </c>
      <c r="K107" s="68" t="str">
        <f>IF(G107&lt;&gt;"",VLOOKUP(G107,Lookup!A:E,5,FALSE),"")</f>
        <v/>
      </c>
      <c r="L107" s="63" t="str">
        <f>IF(G107&lt;&gt;"",VLOOKUP(G107,Lookup!A:F,6,FALSE),"")</f>
        <v/>
      </c>
      <c r="P107" s="94"/>
    </row>
    <row r="108" spans="7:16" x14ac:dyDescent="0.25">
      <c r="G108" s="57"/>
      <c r="H108" s="67" t="str">
        <f>IF(G108&lt;&gt;"",VLOOKUP(G108,Lookup!A:C,2,FALSE),"")</f>
        <v/>
      </c>
      <c r="I108" s="67" t="str">
        <f>IF(G108&lt;&gt;"",VLOOKUP(G108,Lookup!A:C,3,FALSE),"")</f>
        <v/>
      </c>
      <c r="J108" s="67" t="str">
        <f>IF(G108&lt;&gt;"",IF(VLOOKUP(G108,Lookup!A:E,4,FALSE)="","",VLOOKUP(G108,Lookup!A:E,4,FALSE)),"")</f>
        <v/>
      </c>
      <c r="K108" s="68" t="str">
        <f>IF(G108&lt;&gt;"",VLOOKUP(G108,Lookup!A:E,5,FALSE),"")</f>
        <v/>
      </c>
      <c r="L108" s="63" t="str">
        <f>IF(G108&lt;&gt;"",VLOOKUP(G108,Lookup!A:F,6,FALSE),"")</f>
        <v/>
      </c>
      <c r="P108" s="94"/>
    </row>
    <row r="109" spans="7:16" x14ac:dyDescent="0.25">
      <c r="G109" s="57"/>
      <c r="H109" s="67" t="str">
        <f>IF(G109&lt;&gt;"",VLOOKUP(G109,Lookup!A:C,2,FALSE),"")</f>
        <v/>
      </c>
      <c r="I109" s="67" t="str">
        <f>IF(G109&lt;&gt;"",VLOOKUP(G109,Lookup!A:C,3,FALSE),"")</f>
        <v/>
      </c>
      <c r="J109" s="67" t="str">
        <f>IF(G109&lt;&gt;"",IF(VLOOKUP(G109,Lookup!A:E,4,FALSE)="","",VLOOKUP(G109,Lookup!A:E,4,FALSE)),"")</f>
        <v/>
      </c>
      <c r="K109" s="68" t="str">
        <f>IF(G109&lt;&gt;"",VLOOKUP(G109,Lookup!A:E,5,FALSE),"")</f>
        <v/>
      </c>
      <c r="L109" s="63" t="str">
        <f>IF(G109&lt;&gt;"",VLOOKUP(G109,Lookup!A:F,6,FALSE),"")</f>
        <v/>
      </c>
      <c r="P109" s="94"/>
    </row>
    <row r="110" spans="7:16" x14ac:dyDescent="0.25">
      <c r="G110" s="57"/>
      <c r="H110" s="67" t="str">
        <f>IF(G110&lt;&gt;"",VLOOKUP(G110,Lookup!A:C,2,FALSE),"")</f>
        <v/>
      </c>
      <c r="I110" s="67" t="str">
        <f>IF(G110&lt;&gt;"",VLOOKUP(G110,Lookup!A:C,3,FALSE),"")</f>
        <v/>
      </c>
      <c r="J110" s="67" t="str">
        <f>IF(G110&lt;&gt;"",IF(VLOOKUP(G110,Lookup!A:E,4,FALSE)="","",VLOOKUP(G110,Lookup!A:E,4,FALSE)),"")</f>
        <v/>
      </c>
      <c r="K110" s="68" t="str">
        <f>IF(G110&lt;&gt;"",VLOOKUP(G110,Lookup!A:E,5,FALSE),"")</f>
        <v/>
      </c>
      <c r="L110" s="63" t="str">
        <f>IF(G110&lt;&gt;"",VLOOKUP(G110,Lookup!A:F,6,FALSE),"")</f>
        <v/>
      </c>
      <c r="P110" s="94"/>
    </row>
    <row r="111" spans="7:16" x14ac:dyDescent="0.25">
      <c r="G111" s="57"/>
      <c r="H111" s="67" t="str">
        <f>IF(G111&lt;&gt;"",VLOOKUP(G111,Lookup!A:C,2,FALSE),"")</f>
        <v/>
      </c>
      <c r="I111" s="67" t="str">
        <f>IF(G111&lt;&gt;"",VLOOKUP(G111,Lookup!A:C,3,FALSE),"")</f>
        <v/>
      </c>
      <c r="J111" s="67" t="str">
        <f>IF(G111&lt;&gt;"",IF(VLOOKUP(G111,Lookup!A:E,4,FALSE)="","",VLOOKUP(G111,Lookup!A:E,4,FALSE)),"")</f>
        <v/>
      </c>
      <c r="K111" s="68" t="str">
        <f>IF(G111&lt;&gt;"",VLOOKUP(G111,Lookup!A:E,5,FALSE),"")</f>
        <v/>
      </c>
      <c r="L111" s="63" t="str">
        <f>IF(G111&lt;&gt;"",VLOOKUP(G111,Lookup!A:F,6,FALSE),"")</f>
        <v/>
      </c>
      <c r="P111" s="94"/>
    </row>
    <row r="112" spans="7:16" x14ac:dyDescent="0.25">
      <c r="P112" s="94"/>
    </row>
    <row r="113" spans="16:16" x14ac:dyDescent="0.25">
      <c r="P113" s="94"/>
    </row>
  </sheetData>
  <autoFilter ref="G56:L111"/>
  <sortState ref="G57:M80">
    <sortCondition ref="L56"/>
  </sortState>
  <conditionalFormatting sqref="A69:C92">
    <cfRule type="expression" dxfId="7" priority="593" stopIfTrue="1">
      <formula>AND($B69&gt;=$C69,$C69&lt;&gt;0)</formula>
    </cfRule>
  </conditionalFormatting>
  <conditionalFormatting sqref="A69:D92">
    <cfRule type="expression" dxfId="6" priority="592" stopIfTrue="1">
      <formula>AND($B69&gt;=$D69,$B69&lt;&gt;0,$D69&lt;&gt;"")</formula>
    </cfRule>
  </conditionalFormatting>
  <conditionalFormatting sqref="A69:E92">
    <cfRule type="expression" dxfId="5" priority="591" stopIfTrue="1">
      <formula>AND($B69&gt;=$E69,$E69&lt;&gt;0,$E69&lt;&gt;"")</formula>
    </cfRule>
  </conditionalFormatting>
  <conditionalFormatting sqref="C69:E92">
    <cfRule type="expression" priority="590" stopIfTrue="1">
      <formula>ISBLANK(C69)=TRUE</formula>
    </cfRule>
  </conditionalFormatting>
  <conditionalFormatting sqref="A69:B92">
    <cfRule type="expression" dxfId="4" priority="562">
      <formula>AND($B69&lt;$C69,$B69&gt;0)</formula>
    </cfRule>
  </conditionalFormatting>
  <conditionalFormatting sqref="L56:L11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errorTitle="Duplicate entry" error="No duplicates allowed" sqref="B57:B66">
      <formula1>Heroes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5"/>
  <sheetViews>
    <sheetView workbookViewId="0">
      <selection activeCell="H52" sqref="H52"/>
    </sheetView>
  </sheetViews>
  <sheetFormatPr defaultRowHeight="14.25" x14ac:dyDescent="0.2"/>
  <cols>
    <col min="1" max="1" width="18.85546875" style="24" bestFit="1" customWidth="1"/>
    <col min="2" max="2" width="13.85546875" style="24" bestFit="1" customWidth="1"/>
    <col min="3" max="3" width="16.7109375" style="24" bestFit="1" customWidth="1"/>
    <col min="4" max="16384" width="9.140625" style="24"/>
  </cols>
  <sheetData>
    <row r="1" spans="1:9" ht="15" x14ac:dyDescent="0.2">
      <c r="A1" s="1" t="s">
        <v>55</v>
      </c>
      <c r="B1" s="15" t="s">
        <v>27</v>
      </c>
      <c r="C1" s="19" t="s">
        <v>39</v>
      </c>
      <c r="E1" s="26">
        <v>3</v>
      </c>
      <c r="F1" s="24">
        <v>3</v>
      </c>
    </row>
    <row r="2" spans="1:9" ht="15" x14ac:dyDescent="0.2">
      <c r="A2" s="1" t="s">
        <v>17</v>
      </c>
      <c r="B2" s="12" t="s">
        <v>18</v>
      </c>
      <c r="C2" s="13" t="s">
        <v>19</v>
      </c>
      <c r="E2" s="26">
        <v>4</v>
      </c>
      <c r="F2" s="24">
        <v>3</v>
      </c>
    </row>
    <row r="3" spans="1:9" ht="15" x14ac:dyDescent="0.2">
      <c r="A3" s="1" t="s">
        <v>49</v>
      </c>
      <c r="B3" s="22" t="s">
        <v>50</v>
      </c>
      <c r="C3" s="8" t="s">
        <v>9</v>
      </c>
      <c r="E3" s="26">
        <v>1</v>
      </c>
      <c r="F3" s="24">
        <v>4</v>
      </c>
    </row>
    <row r="4" spans="1:9" ht="15" x14ac:dyDescent="0.2">
      <c r="A4" s="1" t="s">
        <v>61</v>
      </c>
      <c r="B4" s="2" t="s">
        <v>1</v>
      </c>
      <c r="C4" s="11" t="s">
        <v>16</v>
      </c>
      <c r="E4" s="26">
        <v>1</v>
      </c>
      <c r="F4" s="24">
        <v>1</v>
      </c>
    </row>
    <row r="5" spans="1:9" ht="15" x14ac:dyDescent="0.2">
      <c r="A5" s="1" t="s">
        <v>59</v>
      </c>
      <c r="B5" s="15" t="s">
        <v>27</v>
      </c>
      <c r="C5" s="4" t="s">
        <v>3</v>
      </c>
      <c r="E5" s="26">
        <v>1</v>
      </c>
      <c r="F5" s="24">
        <v>6</v>
      </c>
      <c r="I5" s="52" t="s">
        <v>96</v>
      </c>
    </row>
    <row r="6" spans="1:9" ht="15" x14ac:dyDescent="0.2">
      <c r="A6" s="1" t="s">
        <v>21</v>
      </c>
      <c r="B6" s="10" t="s">
        <v>13</v>
      </c>
      <c r="C6" s="11" t="s">
        <v>16</v>
      </c>
      <c r="E6" s="26">
        <v>2</v>
      </c>
      <c r="F6" s="24">
        <v>1</v>
      </c>
      <c r="I6" s="52" t="s">
        <v>97</v>
      </c>
    </row>
    <row r="7" spans="1:9" ht="15" x14ac:dyDescent="0.2">
      <c r="A7" s="1" t="s">
        <v>20</v>
      </c>
      <c r="B7" s="7" t="s">
        <v>8</v>
      </c>
      <c r="C7" s="13" t="s">
        <v>19</v>
      </c>
      <c r="E7" s="26">
        <v>1</v>
      </c>
      <c r="F7" s="24">
        <v>1</v>
      </c>
    </row>
    <row r="8" spans="1:9" ht="15" x14ac:dyDescent="0.2">
      <c r="A8" s="1" t="s">
        <v>26</v>
      </c>
      <c r="B8" s="15" t="s">
        <v>27</v>
      </c>
      <c r="C8" s="3" t="s">
        <v>2</v>
      </c>
      <c r="E8" s="26">
        <v>2</v>
      </c>
      <c r="F8" s="24">
        <v>4</v>
      </c>
    </row>
    <row r="9" spans="1:9" ht="15" x14ac:dyDescent="0.2">
      <c r="A9" s="1" t="s">
        <v>60</v>
      </c>
      <c r="B9" s="5" t="s">
        <v>5</v>
      </c>
      <c r="C9" s="13" t="s">
        <v>19</v>
      </c>
      <c r="E9" s="26">
        <v>1</v>
      </c>
      <c r="F9" s="24">
        <v>4</v>
      </c>
    </row>
    <row r="10" spans="1:9" ht="15" x14ac:dyDescent="0.2">
      <c r="A10" s="1" t="s">
        <v>74</v>
      </c>
      <c r="B10" s="17" t="s">
        <v>34</v>
      </c>
      <c r="C10" s="14" t="s">
        <v>24</v>
      </c>
      <c r="E10" s="26">
        <v>2</v>
      </c>
      <c r="F10" s="24">
        <v>6</v>
      </c>
      <c r="I10" s="50" t="s">
        <v>92</v>
      </c>
    </row>
    <row r="11" spans="1:9" ht="15" x14ac:dyDescent="0.2">
      <c r="A11" s="1" t="s">
        <v>68</v>
      </c>
      <c r="B11" s="23" t="s">
        <v>69</v>
      </c>
      <c r="C11" s="11" t="s">
        <v>16</v>
      </c>
      <c r="E11" s="26">
        <v>4</v>
      </c>
      <c r="F11" s="24">
        <v>1</v>
      </c>
      <c r="I11" s="50" t="s">
        <v>93</v>
      </c>
    </row>
    <row r="12" spans="1:9" ht="15" x14ac:dyDescent="0.25">
      <c r="A12" s="1" t="s">
        <v>0</v>
      </c>
      <c r="B12" s="2" t="s">
        <v>1</v>
      </c>
      <c r="C12" s="3" t="s">
        <v>2</v>
      </c>
      <c r="E12" s="26">
        <v>4</v>
      </c>
      <c r="F12" s="24">
        <v>2</v>
      </c>
      <c r="I12" s="51" t="s">
        <v>94</v>
      </c>
    </row>
    <row r="13" spans="1:9" ht="15" x14ac:dyDescent="0.2">
      <c r="A13" s="1" t="s">
        <v>37</v>
      </c>
      <c r="B13" s="15" t="s">
        <v>27</v>
      </c>
      <c r="C13" s="14" t="s">
        <v>77</v>
      </c>
      <c r="D13" s="24" t="s">
        <v>31</v>
      </c>
      <c r="E13" s="26">
        <v>4</v>
      </c>
      <c r="F13" s="24">
        <v>4</v>
      </c>
    </row>
    <row r="14" spans="1:9" ht="15" x14ac:dyDescent="0.2">
      <c r="A14" s="1" t="s">
        <v>66</v>
      </c>
      <c r="B14" s="10" t="s">
        <v>13</v>
      </c>
      <c r="C14" s="19" t="s">
        <v>39</v>
      </c>
      <c r="E14" s="26">
        <v>1</v>
      </c>
      <c r="F14" s="24">
        <v>3</v>
      </c>
    </row>
    <row r="15" spans="1:9" ht="15" x14ac:dyDescent="0.2">
      <c r="A15" s="1" t="s">
        <v>58</v>
      </c>
      <c r="B15" s="21" t="s">
        <v>47</v>
      </c>
      <c r="C15" s="20" t="s">
        <v>41</v>
      </c>
      <c r="E15" s="26">
        <v>1</v>
      </c>
      <c r="F15" s="24">
        <v>5</v>
      </c>
      <c r="I15" s="24" t="s">
        <v>99</v>
      </c>
    </row>
    <row r="16" spans="1:9" ht="15" x14ac:dyDescent="0.2">
      <c r="A16" s="1" t="s">
        <v>63</v>
      </c>
      <c r="B16" s="12" t="s">
        <v>18</v>
      </c>
      <c r="C16" s="18" t="s">
        <v>35</v>
      </c>
      <c r="E16" s="26">
        <v>5</v>
      </c>
      <c r="F16" s="24">
        <v>2</v>
      </c>
      <c r="I16" s="24" t="s">
        <v>95</v>
      </c>
    </row>
    <row r="17" spans="1:6" ht="15" x14ac:dyDescent="0.2">
      <c r="A17" s="1" t="s">
        <v>62</v>
      </c>
      <c r="B17" s="21" t="s">
        <v>47</v>
      </c>
      <c r="C17" s="6" t="s">
        <v>9</v>
      </c>
      <c r="E17" s="26">
        <v>2</v>
      </c>
      <c r="F17" s="24">
        <v>7</v>
      </c>
    </row>
    <row r="18" spans="1:6" ht="15" x14ac:dyDescent="0.2">
      <c r="A18" s="1" t="s">
        <v>4</v>
      </c>
      <c r="B18" s="5" t="s">
        <v>5</v>
      </c>
      <c r="C18" s="6" t="s">
        <v>6</v>
      </c>
      <c r="E18" s="26">
        <v>5</v>
      </c>
      <c r="F18" s="24">
        <v>4</v>
      </c>
    </row>
    <row r="19" spans="1:6" ht="15" x14ac:dyDescent="0.2">
      <c r="A19" s="1" t="s">
        <v>15</v>
      </c>
      <c r="B19" s="2" t="s">
        <v>1</v>
      </c>
      <c r="C19" s="11" t="s">
        <v>16</v>
      </c>
      <c r="E19" s="26">
        <v>2</v>
      </c>
      <c r="F19" s="24">
        <v>3</v>
      </c>
    </row>
    <row r="20" spans="1:6" ht="15" x14ac:dyDescent="0.2">
      <c r="A20" s="1" t="s">
        <v>23</v>
      </c>
      <c r="B20" s="2" t="s">
        <v>1</v>
      </c>
      <c r="C20" s="14" t="s">
        <v>24</v>
      </c>
      <c r="E20" s="26">
        <v>4</v>
      </c>
      <c r="F20" s="24">
        <v>1</v>
      </c>
    </row>
    <row r="21" spans="1:6" ht="15" x14ac:dyDescent="0.2">
      <c r="A21" s="1" t="s">
        <v>71</v>
      </c>
      <c r="B21" s="17" t="s">
        <v>34</v>
      </c>
      <c r="C21" s="19" t="s">
        <v>39</v>
      </c>
      <c r="E21" s="26">
        <v>5</v>
      </c>
      <c r="F21" s="24">
        <v>4</v>
      </c>
    </row>
    <row r="22" spans="1:6" ht="15" x14ac:dyDescent="0.2">
      <c r="A22" s="1" t="s">
        <v>75</v>
      </c>
      <c r="B22" s="17" t="s">
        <v>34</v>
      </c>
      <c r="C22" s="14" t="s">
        <v>24</v>
      </c>
      <c r="E22" s="26">
        <v>4</v>
      </c>
      <c r="F22" s="24">
        <v>6</v>
      </c>
    </row>
    <row r="23" spans="1:6" ht="15" x14ac:dyDescent="0.2">
      <c r="A23" s="1" t="s">
        <v>65</v>
      </c>
      <c r="B23" s="17" t="s">
        <v>34</v>
      </c>
      <c r="C23" s="14" t="s">
        <v>24</v>
      </c>
      <c r="E23" s="26">
        <v>3</v>
      </c>
      <c r="F23" s="24">
        <v>7</v>
      </c>
    </row>
    <row r="24" spans="1:6" ht="15" x14ac:dyDescent="0.2">
      <c r="A24" s="1" t="s">
        <v>46</v>
      </c>
      <c r="B24" s="21" t="s">
        <v>47</v>
      </c>
      <c r="C24" s="20" t="s">
        <v>41</v>
      </c>
      <c r="E24" s="26">
        <v>4</v>
      </c>
      <c r="F24" s="24">
        <v>2</v>
      </c>
    </row>
    <row r="25" spans="1:6" ht="15" x14ac:dyDescent="0.2">
      <c r="A25" s="1" t="s">
        <v>48</v>
      </c>
      <c r="B25" s="15" t="s">
        <v>27</v>
      </c>
      <c r="C25" s="8" t="s">
        <v>9</v>
      </c>
      <c r="E25" s="26">
        <v>2</v>
      </c>
      <c r="F25" s="24">
        <v>4</v>
      </c>
    </row>
    <row r="26" spans="1:6" ht="15" x14ac:dyDescent="0.2">
      <c r="A26" s="1" t="s">
        <v>32</v>
      </c>
      <c r="B26" s="2" t="s">
        <v>1</v>
      </c>
      <c r="C26" s="14" t="s">
        <v>77</v>
      </c>
      <c r="D26" s="24" t="s">
        <v>41</v>
      </c>
      <c r="E26" s="26">
        <v>3</v>
      </c>
      <c r="F26" s="24">
        <v>4</v>
      </c>
    </row>
    <row r="27" spans="1:6" ht="15" x14ac:dyDescent="0.2">
      <c r="A27" s="1" t="s">
        <v>28</v>
      </c>
      <c r="B27" s="10" t="s">
        <v>13</v>
      </c>
      <c r="C27" s="9" t="s">
        <v>11</v>
      </c>
      <c r="E27" s="26">
        <v>4</v>
      </c>
      <c r="F27" s="24">
        <v>1</v>
      </c>
    </row>
    <row r="28" spans="1:6" ht="15" x14ac:dyDescent="0.2">
      <c r="A28" s="1" t="s">
        <v>52</v>
      </c>
      <c r="B28" s="7" t="s">
        <v>8</v>
      </c>
      <c r="C28" s="18" t="s">
        <v>35</v>
      </c>
      <c r="E28" s="26">
        <v>2</v>
      </c>
      <c r="F28" s="24">
        <v>5</v>
      </c>
    </row>
    <row r="29" spans="1:6" ht="15" x14ac:dyDescent="0.2">
      <c r="A29" s="1" t="s">
        <v>38</v>
      </c>
      <c r="B29" s="12" t="s">
        <v>18</v>
      </c>
      <c r="C29" s="19" t="s">
        <v>39</v>
      </c>
      <c r="E29" s="26">
        <v>4</v>
      </c>
      <c r="F29" s="24">
        <v>3</v>
      </c>
    </row>
    <row r="30" spans="1:6" ht="15" x14ac:dyDescent="0.2">
      <c r="A30" s="1" t="s">
        <v>44</v>
      </c>
      <c r="B30" s="17" t="s">
        <v>34</v>
      </c>
      <c r="C30" s="19" t="s">
        <v>45</v>
      </c>
      <c r="E30" s="26">
        <v>1</v>
      </c>
      <c r="F30" s="24">
        <v>6</v>
      </c>
    </row>
    <row r="31" spans="1:6" ht="15" x14ac:dyDescent="0.2">
      <c r="A31" s="1" t="s">
        <v>53</v>
      </c>
      <c r="B31" s="15" t="s">
        <v>27</v>
      </c>
      <c r="C31" s="14" t="s">
        <v>24</v>
      </c>
      <c r="E31" s="26">
        <v>3</v>
      </c>
      <c r="F31" s="24">
        <v>4</v>
      </c>
    </row>
    <row r="32" spans="1:6" ht="15" x14ac:dyDescent="0.2">
      <c r="A32" s="1" t="s">
        <v>25</v>
      </c>
      <c r="B32" s="7" t="s">
        <v>8</v>
      </c>
      <c r="C32" s="8" t="s">
        <v>9</v>
      </c>
      <c r="E32" s="26">
        <v>3</v>
      </c>
      <c r="F32" s="24">
        <v>4</v>
      </c>
    </row>
    <row r="33" spans="1:6" ht="15" x14ac:dyDescent="0.2">
      <c r="A33" s="1" t="s">
        <v>73</v>
      </c>
      <c r="B33" s="17" t="s">
        <v>34</v>
      </c>
      <c r="C33" s="25" t="s">
        <v>79</v>
      </c>
      <c r="D33" s="24" t="s">
        <v>31</v>
      </c>
      <c r="E33" s="26">
        <v>2</v>
      </c>
      <c r="F33" s="24">
        <v>4</v>
      </c>
    </row>
    <row r="34" spans="1:6" ht="15" x14ac:dyDescent="0.2">
      <c r="A34" s="1" t="s">
        <v>36</v>
      </c>
      <c r="B34" s="7" t="s">
        <v>8</v>
      </c>
      <c r="C34" s="3" t="s">
        <v>2</v>
      </c>
      <c r="E34" s="26">
        <v>2</v>
      </c>
      <c r="F34" s="24">
        <v>4</v>
      </c>
    </row>
    <row r="35" spans="1:6" ht="15" x14ac:dyDescent="0.2">
      <c r="A35" s="1" t="s">
        <v>33</v>
      </c>
      <c r="B35" s="17" t="s">
        <v>34</v>
      </c>
      <c r="C35" s="18" t="s">
        <v>35</v>
      </c>
      <c r="E35" s="26">
        <v>3</v>
      </c>
      <c r="F35" s="24">
        <v>2</v>
      </c>
    </row>
    <row r="36" spans="1:6" ht="15" x14ac:dyDescent="0.2">
      <c r="A36" s="1" t="s">
        <v>56</v>
      </c>
      <c r="B36" s="7" t="s">
        <v>8</v>
      </c>
      <c r="C36" s="20" t="s">
        <v>41</v>
      </c>
      <c r="E36" s="26">
        <v>3</v>
      </c>
      <c r="F36" s="24">
        <v>6</v>
      </c>
    </row>
    <row r="37" spans="1:6" ht="15" x14ac:dyDescent="0.2">
      <c r="A37" s="1" t="s">
        <v>22</v>
      </c>
      <c r="B37" s="12" t="s">
        <v>18</v>
      </c>
      <c r="C37" s="3" t="s">
        <v>2</v>
      </c>
      <c r="E37" s="26">
        <v>3</v>
      </c>
      <c r="F37" s="24">
        <v>2</v>
      </c>
    </row>
    <row r="38" spans="1:6" ht="15" x14ac:dyDescent="0.2">
      <c r="A38" s="1" t="s">
        <v>72</v>
      </c>
      <c r="B38" s="23" t="s">
        <v>69</v>
      </c>
      <c r="C38" s="4" t="s">
        <v>3</v>
      </c>
      <c r="E38" s="26">
        <v>1</v>
      </c>
      <c r="F38" s="24">
        <v>5</v>
      </c>
    </row>
    <row r="39" spans="1:6" ht="15" x14ac:dyDescent="0.2">
      <c r="A39" s="1" t="s">
        <v>10</v>
      </c>
      <c r="B39" s="2" t="s">
        <v>1</v>
      </c>
      <c r="C39" s="9" t="s">
        <v>11</v>
      </c>
      <c r="E39" s="26">
        <v>2</v>
      </c>
      <c r="F39" s="24">
        <v>5</v>
      </c>
    </row>
    <row r="40" spans="1:6" ht="15" x14ac:dyDescent="0.2">
      <c r="A40" s="1" t="s">
        <v>29</v>
      </c>
      <c r="B40" s="7" t="s">
        <v>8</v>
      </c>
      <c r="C40" s="9" t="s">
        <v>11</v>
      </c>
      <c r="E40" s="26">
        <v>3</v>
      </c>
      <c r="F40" s="24">
        <v>7</v>
      </c>
    </row>
    <row r="41" spans="1:6" ht="15" x14ac:dyDescent="0.2">
      <c r="A41" s="1" t="s">
        <v>14</v>
      </c>
      <c r="B41" s="10" t="s">
        <v>13</v>
      </c>
      <c r="C41" s="6" t="s">
        <v>6</v>
      </c>
      <c r="E41" s="26">
        <v>3</v>
      </c>
      <c r="F41" s="24">
        <v>5</v>
      </c>
    </row>
    <row r="42" spans="1:6" ht="15" x14ac:dyDescent="0.2">
      <c r="A42" s="1" t="s">
        <v>64</v>
      </c>
      <c r="B42" s="5" t="s">
        <v>5</v>
      </c>
      <c r="C42" s="13" t="s">
        <v>19</v>
      </c>
      <c r="E42" s="26">
        <v>5</v>
      </c>
      <c r="F42" s="24">
        <v>2</v>
      </c>
    </row>
    <row r="43" spans="1:6" ht="15" x14ac:dyDescent="0.2">
      <c r="A43" s="1" t="s">
        <v>7</v>
      </c>
      <c r="B43" s="7" t="s">
        <v>8</v>
      </c>
      <c r="C43" s="8" t="s">
        <v>9</v>
      </c>
      <c r="E43" s="26">
        <v>4</v>
      </c>
      <c r="F43" s="24">
        <v>4</v>
      </c>
    </row>
    <row r="44" spans="1:6" ht="15" x14ac:dyDescent="0.2">
      <c r="A44" s="1" t="s">
        <v>54</v>
      </c>
      <c r="B44" s="22" t="s">
        <v>50</v>
      </c>
      <c r="C44" s="3" t="s">
        <v>2</v>
      </c>
      <c r="E44" s="26">
        <v>3</v>
      </c>
      <c r="F44" s="24">
        <v>5</v>
      </c>
    </row>
    <row r="45" spans="1:6" ht="15" x14ac:dyDescent="0.2">
      <c r="A45" s="1" t="s">
        <v>76</v>
      </c>
      <c r="B45" s="10" t="s">
        <v>13</v>
      </c>
      <c r="C45" s="9" t="s">
        <v>11</v>
      </c>
      <c r="E45" s="26">
        <v>5</v>
      </c>
      <c r="F45" s="24">
        <v>1</v>
      </c>
    </row>
    <row r="46" spans="1:6" ht="15" x14ac:dyDescent="0.2">
      <c r="A46" s="1" t="s">
        <v>51</v>
      </c>
      <c r="B46" s="5" t="s">
        <v>5</v>
      </c>
      <c r="C46" s="13" t="s">
        <v>19</v>
      </c>
      <c r="E46" s="26">
        <v>2</v>
      </c>
      <c r="F46" s="24">
        <v>4</v>
      </c>
    </row>
    <row r="47" spans="1:6" ht="15" x14ac:dyDescent="0.2">
      <c r="A47" s="1" t="s">
        <v>70</v>
      </c>
      <c r="B47" s="5" t="s">
        <v>5</v>
      </c>
      <c r="C47" s="13" t="s">
        <v>19</v>
      </c>
      <c r="E47" s="26">
        <v>1</v>
      </c>
      <c r="F47" s="24">
        <v>7</v>
      </c>
    </row>
    <row r="48" spans="1:6" ht="15" x14ac:dyDescent="0.2">
      <c r="A48" s="1" t="s">
        <v>42</v>
      </c>
      <c r="B48" s="2" t="s">
        <v>1</v>
      </c>
      <c r="C48" s="18" t="s">
        <v>35</v>
      </c>
      <c r="E48" s="26">
        <v>1</v>
      </c>
      <c r="F48" s="24">
        <v>4</v>
      </c>
    </row>
    <row r="49" spans="1:6" ht="15" x14ac:dyDescent="0.2">
      <c r="A49" s="1" t="s">
        <v>57</v>
      </c>
      <c r="B49" s="21" t="s">
        <v>47</v>
      </c>
      <c r="C49" s="8" t="s">
        <v>9</v>
      </c>
      <c r="E49" s="26">
        <v>2</v>
      </c>
      <c r="F49" s="24">
        <v>5</v>
      </c>
    </row>
    <row r="50" spans="1:6" ht="15" x14ac:dyDescent="0.2">
      <c r="A50" s="1" t="s">
        <v>91</v>
      </c>
      <c r="B50" s="2" t="s">
        <v>1</v>
      </c>
      <c r="C50" s="4" t="s">
        <v>3</v>
      </c>
      <c r="E50" s="26">
        <v>4</v>
      </c>
      <c r="F50" s="24">
        <v>4</v>
      </c>
    </row>
    <row r="51" spans="1:6" ht="15" x14ac:dyDescent="0.2">
      <c r="A51" s="1" t="s">
        <v>43</v>
      </c>
      <c r="B51" s="2" t="s">
        <v>1</v>
      </c>
      <c r="C51" s="20" t="s">
        <v>41</v>
      </c>
      <c r="E51" s="26">
        <v>1</v>
      </c>
      <c r="F51" s="24">
        <v>7</v>
      </c>
    </row>
    <row r="52" spans="1:6" ht="15" x14ac:dyDescent="0.2">
      <c r="A52" s="1" t="s">
        <v>40</v>
      </c>
      <c r="B52" s="12" t="s">
        <v>18</v>
      </c>
      <c r="C52" s="20" t="s">
        <v>41</v>
      </c>
      <c r="E52" s="26">
        <v>3</v>
      </c>
      <c r="F52" s="24">
        <v>7</v>
      </c>
    </row>
    <row r="53" spans="1:6" ht="15" x14ac:dyDescent="0.2">
      <c r="A53" s="1" t="s">
        <v>30</v>
      </c>
      <c r="B53" s="7" t="s">
        <v>8</v>
      </c>
      <c r="C53" s="16" t="s">
        <v>31</v>
      </c>
      <c r="E53" s="26">
        <v>3</v>
      </c>
      <c r="F53" s="24">
        <v>4</v>
      </c>
    </row>
    <row r="54" spans="1:6" ht="15" x14ac:dyDescent="0.2">
      <c r="A54" s="1" t="s">
        <v>12</v>
      </c>
      <c r="B54" s="10" t="s">
        <v>13</v>
      </c>
      <c r="C54" s="8" t="s">
        <v>9</v>
      </c>
      <c r="E54" s="26">
        <v>3</v>
      </c>
      <c r="F54" s="24">
        <v>3</v>
      </c>
    </row>
    <row r="55" spans="1:6" ht="15" x14ac:dyDescent="0.2">
      <c r="A55" s="1" t="s">
        <v>67</v>
      </c>
      <c r="B55" s="12" t="s">
        <v>18</v>
      </c>
      <c r="C55" s="4" t="s">
        <v>3</v>
      </c>
      <c r="E55" s="26">
        <v>2</v>
      </c>
      <c r="F55" s="24">
        <v>5</v>
      </c>
    </row>
  </sheetData>
  <sortState ref="A1:E55">
    <sortCondition ref="A1:A55"/>
  </sortState>
  <hyperlinks>
    <hyperlink ref="I12" r:id="rId1" location="gid=127869878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Lookup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Harman</dc:creator>
  <cp:lastModifiedBy>Paul Harman</cp:lastModifiedBy>
  <dcterms:created xsi:type="dcterms:W3CDTF">2019-02-04T13:25:23Z</dcterms:created>
  <dcterms:modified xsi:type="dcterms:W3CDTF">2019-02-22T22:44:46Z</dcterms:modified>
</cp:coreProperties>
</file>